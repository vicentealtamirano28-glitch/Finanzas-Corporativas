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centealtamiranoaristondo/Downloads/"/>
    </mc:Choice>
  </mc:AlternateContent>
  <xr:revisionPtr revIDLastSave="0" documentId="8_{B52CAF67-48E3-D44C-B314-93BC0D26EFF7}" xr6:coauthVersionLast="47" xr6:coauthVersionMax="47" xr10:uidLastSave="{00000000-0000-0000-0000-000000000000}"/>
  <bookViews>
    <workbookView xWindow="400" yWindow="500" windowWidth="19780" windowHeight="10800" activeTab="1" xr2:uid="{018E4351-8FEE-5940-A750-C1312FBE5852}"/>
  </bookViews>
  <sheets>
    <sheet name="Sheet1" sheetId="1" r:id="rId1"/>
    <sheet name="Hoj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" i="1" l="1"/>
  <c r="B44" i="1" s="1"/>
  <c r="C45" i="1"/>
  <c r="C46" i="1"/>
  <c r="C47" i="1"/>
  <c r="C48" i="1"/>
  <c r="C49" i="1"/>
  <c r="C50" i="1"/>
  <c r="C51" i="1"/>
  <c r="C52" i="1"/>
  <c r="C53" i="1"/>
  <c r="C54" i="1"/>
  <c r="C55" i="1"/>
  <c r="I12" i="1"/>
  <c r="I13" i="1"/>
  <c r="I10" i="1"/>
  <c r="I8" i="1"/>
  <c r="I7" i="1"/>
  <c r="I6" i="1"/>
  <c r="I4" i="1"/>
  <c r="I3" i="1"/>
  <c r="I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D5" i="1"/>
  <c r="D6" i="1"/>
  <c r="D10" i="1"/>
  <c r="D12" i="1"/>
  <c r="D13" i="1"/>
  <c r="D14" i="1"/>
  <c r="D18" i="1"/>
  <c r="D20" i="1"/>
  <c r="D21" i="1"/>
  <c r="D22" i="1"/>
  <c r="D26" i="1"/>
  <c r="D28" i="1"/>
  <c r="D29" i="1"/>
  <c r="D30" i="1"/>
  <c r="D34" i="1"/>
  <c r="D36" i="1"/>
  <c r="D37" i="1"/>
  <c r="D38" i="1"/>
  <c r="C5" i="1"/>
  <c r="C6" i="1"/>
  <c r="C7" i="1"/>
  <c r="D7" i="1" s="1"/>
  <c r="C8" i="1"/>
  <c r="D8" i="1" s="1"/>
  <c r="C9" i="1"/>
  <c r="D9" i="1" s="1"/>
  <c r="C10" i="1"/>
  <c r="C11" i="1"/>
  <c r="D11" i="1" s="1"/>
  <c r="C12" i="1"/>
  <c r="C13" i="1"/>
  <c r="C14" i="1"/>
  <c r="C15" i="1"/>
  <c r="D15" i="1" s="1"/>
  <c r="C16" i="1"/>
  <c r="D16" i="1" s="1"/>
  <c r="C17" i="1"/>
  <c r="D17" i="1" s="1"/>
  <c r="C18" i="1"/>
  <c r="C19" i="1"/>
  <c r="D19" i="1" s="1"/>
  <c r="C20" i="1"/>
  <c r="C21" i="1"/>
  <c r="C22" i="1"/>
  <c r="C23" i="1"/>
  <c r="D23" i="1" s="1"/>
  <c r="C24" i="1"/>
  <c r="D24" i="1" s="1"/>
  <c r="C25" i="1"/>
  <c r="D25" i="1" s="1"/>
  <c r="C26" i="1"/>
  <c r="C27" i="1"/>
  <c r="D27" i="1" s="1"/>
  <c r="C28" i="1"/>
  <c r="C29" i="1"/>
  <c r="C30" i="1"/>
  <c r="C31" i="1"/>
  <c r="D31" i="1" s="1"/>
  <c r="C32" i="1"/>
  <c r="D32" i="1" s="1"/>
  <c r="C33" i="1"/>
  <c r="D33" i="1" s="1"/>
  <c r="C34" i="1"/>
  <c r="C35" i="1"/>
  <c r="D35" i="1" s="1"/>
  <c r="C36" i="1"/>
  <c r="C37" i="1"/>
  <c r="C38" i="1"/>
  <c r="C4" i="1"/>
  <c r="D4" i="1" s="1"/>
  <c r="B45" i="1" l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H2" i="1"/>
  <c r="H3" i="1"/>
  <c r="H4" i="1"/>
  <c r="C40" i="1"/>
  <c r="C41" i="1"/>
  <c r="C42" i="1" s="1"/>
  <c r="H7" i="1" l="1"/>
  <c r="H8" i="1" s="1"/>
  <c r="H10" i="1" s="1"/>
  <c r="H6" i="1"/>
  <c r="H13" i="1" l="1"/>
  <c r="H12" i="1"/>
</calcChain>
</file>

<file path=xl/sharedStrings.xml><?xml version="1.0" encoding="utf-8"?>
<sst xmlns="http://schemas.openxmlformats.org/spreadsheetml/2006/main" count="33" uniqueCount="32">
  <si>
    <t>Company</t>
  </si>
  <si>
    <t>Adidas</t>
  </si>
  <si>
    <t>Currency</t>
  </si>
  <si>
    <t>EUR</t>
  </si>
  <si>
    <t>Jan-23</t>
  </si>
  <si>
    <t>Apr-23</t>
  </si>
  <si>
    <t>Aug-23</t>
  </si>
  <si>
    <t>Dec-23</t>
  </si>
  <si>
    <t>Jan-24</t>
  </si>
  <si>
    <t>Apr-24</t>
  </si>
  <si>
    <t>Aug-24</t>
  </si>
  <si>
    <t>Dec-24</t>
  </si>
  <si>
    <t>Jan-25</t>
  </si>
  <si>
    <t>Apr-25</t>
  </si>
  <si>
    <t>Aug-25</t>
  </si>
  <si>
    <t>Dec-25</t>
  </si>
  <si>
    <t>Retorno simple</t>
  </si>
  <si>
    <t xml:space="preserve">Retorno promedio mensual </t>
  </si>
  <si>
    <t>Var</t>
  </si>
  <si>
    <t>SD</t>
  </si>
  <si>
    <t xml:space="preserve">Retorno real </t>
  </si>
  <si>
    <t>Retorno +1</t>
  </si>
  <si>
    <t>Retorno esperado</t>
  </si>
  <si>
    <t xml:space="preserve">VAR </t>
  </si>
  <si>
    <t>Error estandar</t>
  </si>
  <si>
    <t>Intervalo de confianza</t>
  </si>
  <si>
    <t>Retorno LN</t>
  </si>
  <si>
    <t>Retorno real ln</t>
  </si>
  <si>
    <t>Escenario 1</t>
  </si>
  <si>
    <t>Escenario 2</t>
  </si>
  <si>
    <t>Escenario 3</t>
  </si>
  <si>
    <t>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</si>
</sst>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_ ;_ * \-#,##0_ ;_ * &quot;-&quot;_ ;_ @_ "/>
    <numFmt numFmtId="165" formatCode="0.000%"/>
    <numFmt numFmtId="166" formatCode="0.0000%"/>
    <numFmt numFmtId="167" formatCode="_ * #,##0.00000_ ;_ * \-#,##0.00000_ ;_ * &quot;-&quot;_ ;_ @_ "/>
  </numFmts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7" fontId="1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2" fontId="0" fillId="0" borderId="1" xfId="0" applyNumberFormat="1" applyBorder="1" applyAlignment="1">
      <alignment vertical="center" wrapText="1"/>
    </xf>
    <xf numFmtId="10" fontId="0" fillId="0" borderId="1" xfId="2" applyNumberFormat="1" applyFont="1" applyBorder="1"/>
    <xf numFmtId="165" fontId="0" fillId="0" borderId="1" xfId="2" applyNumberFormat="1" applyFont="1" applyBorder="1"/>
    <xf numFmtId="10" fontId="0" fillId="0" borderId="0" xfId="2" applyNumberFormat="1" applyFont="1"/>
    <xf numFmtId="167" fontId="0" fillId="0" borderId="1" xfId="1" applyNumberFormat="1" applyFont="1" applyBorder="1"/>
    <xf numFmtId="167" fontId="0" fillId="0" borderId="1" xfId="0" applyNumberFormat="1" applyBorder="1"/>
    <xf numFmtId="10" fontId="0" fillId="0" borderId="1" xfId="0" applyNumberFormat="1" applyBorder="1"/>
    <xf numFmtId="0" fontId="3" fillId="0" borderId="1" xfId="0" applyFont="1" applyBorder="1"/>
    <xf numFmtId="165" fontId="3" fillId="0" borderId="1" xfId="0" applyNumberFormat="1" applyFont="1" applyBorder="1"/>
    <xf numFmtId="10" fontId="3" fillId="0" borderId="1" xfId="0" applyNumberFormat="1" applyFont="1" applyBorder="1"/>
    <xf numFmtId="10" fontId="3" fillId="0" borderId="1" xfId="2" applyNumberFormat="1" applyFont="1" applyBorder="1"/>
    <xf numFmtId="0" fontId="3" fillId="0" borderId="0" xfId="0" applyFont="1"/>
    <xf numFmtId="2" fontId="3" fillId="2" borderId="1" xfId="0" applyNumberFormat="1" applyFont="1" applyFill="1" applyBorder="1" applyAlignment="1">
      <alignment vertical="center" wrapText="1"/>
    </xf>
    <xf numFmtId="166" fontId="3" fillId="0" borderId="1" xfId="0" applyNumberFormat="1" applyFont="1" applyBorder="1"/>
    <xf numFmtId="165" fontId="3" fillId="0" borderId="1" xfId="2" applyNumberFormat="1" applyFont="1" applyBorder="1"/>
    <xf numFmtId="17" fontId="0" fillId="0" borderId="1" xfId="0" applyNumberFormat="1" applyBorder="1"/>
  </cellXfs>
  <cellStyles count="3">
    <cellStyle name="Millares [0]" xfId="1" builtinId="6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Hoja1!$B$2</c:f>
              <c:strCache>
                <c:ptCount val="1"/>
                <c:pt idx="0">
                  <c:v>Escenario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Hoja1!$A$3:$A$14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Hoja1!$B$3:$B$14</c:f>
              <c:numCache>
                <c:formatCode>0.00%</c:formatCode>
                <c:ptCount val="12"/>
                <c:pt idx="0">
                  <c:v>0.16119930512667546</c:v>
                </c:pt>
                <c:pt idx="1">
                  <c:v>0.12015956209677391</c:v>
                </c:pt>
                <c:pt idx="2">
                  <c:v>-2.8806176452035773E-2</c:v>
                </c:pt>
                <c:pt idx="3">
                  <c:v>-4.7883608497516356E-2</c:v>
                </c:pt>
                <c:pt idx="4">
                  <c:v>-5.7734632098497961E-2</c:v>
                </c:pt>
                <c:pt idx="5">
                  <c:v>8.2966117377186233E-2</c:v>
                </c:pt>
                <c:pt idx="6">
                  <c:v>9.6246098506453354E-2</c:v>
                </c:pt>
                <c:pt idx="7">
                  <c:v>0.13007380439019267</c:v>
                </c:pt>
                <c:pt idx="8">
                  <c:v>6.377415446822067E-2</c:v>
                </c:pt>
                <c:pt idx="9">
                  <c:v>0.14256873740412093</c:v>
                </c:pt>
                <c:pt idx="10">
                  <c:v>-0.11790548395140274</c:v>
                </c:pt>
                <c:pt idx="11">
                  <c:v>-8.5047684172760724E-3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AE-4172-8098-EB35EDD755D8}"/>
            </c:ext>
          </c:extLst>
        </c:ser>
        <c:ser>
          <c:idx val="1"/>
          <c:order val="1"/>
          <c:tx>
            <c:strRef>
              <c:f>Hoja1!$C$2</c:f>
              <c:strCache>
                <c:ptCount val="1"/>
                <c:pt idx="0">
                  <c:v>Escenario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Hoja1!$A$3:$A$14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Hoja1!$C$3:$C$14</c:f>
              <c:numCache>
                <c:formatCode>0.000%</c:formatCode>
                <c:ptCount val="12"/>
                <c:pt idx="0">
                  <c:v>-6.2878774024143574E-2</c:v>
                </c:pt>
                <c:pt idx="1">
                  <c:v>6.5839182910371774E-2</c:v>
                </c:pt>
                <c:pt idx="2">
                  <c:v>-4.7893945025400529E-2</c:v>
                </c:pt>
                <c:pt idx="3">
                  <c:v>-0.17483874214933795</c:v>
                </c:pt>
                <c:pt idx="4">
                  <c:v>0.10351229319560695</c:v>
                </c:pt>
                <c:pt idx="5">
                  <c:v>-5.5578094989655664E-2</c:v>
                </c:pt>
                <c:pt idx="6">
                  <c:v>7.2087543797332093E-2</c:v>
                </c:pt>
                <c:pt idx="7">
                  <c:v>4.589621530628147E-2</c:v>
                </c:pt>
                <c:pt idx="8">
                  <c:v>-7.3887280453989596E-2</c:v>
                </c:pt>
                <c:pt idx="9">
                  <c:v>-3.9202522720270788E-4</c:v>
                </c:pt>
                <c:pt idx="10">
                  <c:v>-2.7077506789785141E-2</c:v>
                </c:pt>
                <c:pt idx="11">
                  <c:v>3.8954834404373681E-2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AE-4172-8098-EB35EDD755D8}"/>
            </c:ext>
          </c:extLst>
        </c:ser>
        <c:ser>
          <c:idx val="2"/>
          <c:order val="2"/>
          <c:tx>
            <c:strRef>
              <c:f>Hoja1!$D$2</c:f>
              <c:strCache>
                <c:ptCount val="1"/>
                <c:pt idx="0">
                  <c:v>Escenario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Hoja1!$A$3:$A$14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Hoja1!$D$3:$D$14</c:f>
              <c:numCache>
                <c:formatCode>0.000%</c:formatCode>
                <c:ptCount val="12"/>
                <c:pt idx="0">
                  <c:v>0.12608484883411614</c:v>
                </c:pt>
                <c:pt idx="1">
                  <c:v>0.10901844008883052</c:v>
                </c:pt>
                <c:pt idx="2">
                  <c:v>5.9107726907867246E-2</c:v>
                </c:pt>
                <c:pt idx="3">
                  <c:v>-2.5285955029494843E-2</c:v>
                </c:pt>
                <c:pt idx="4">
                  <c:v>7.1825372095142517E-2</c:v>
                </c:pt>
                <c:pt idx="5">
                  <c:v>0.10137170586849373</c:v>
                </c:pt>
                <c:pt idx="6">
                  <c:v>4.547259624813791E-2</c:v>
                </c:pt>
                <c:pt idx="7">
                  <c:v>-4.4068197568477435E-2</c:v>
                </c:pt>
                <c:pt idx="8">
                  <c:v>3.8487457985749873E-2</c:v>
                </c:pt>
                <c:pt idx="9">
                  <c:v>9.0201246085568672E-3</c:v>
                </c:pt>
                <c:pt idx="10">
                  <c:v>-1.3744316122597361E-2</c:v>
                </c:pt>
                <c:pt idx="11">
                  <c:v>2.4256188890657927E-2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AE-4172-8098-EB35EDD75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6750943"/>
        <c:axId val="1784813519"/>
      </c:lineChart>
      <c:dateAx>
        <c:axId val="21467509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84813519"/>
        <c:crosses val="autoZero"/>
        <c:auto val="1"/>
        <c:lblOffset val="100"/>
        <c:baseTimeUnit val="months"/>
      </c:dateAx>
      <c:valAx>
        <c:axId val="178481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146750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23812</xdr:colOff>
      <xdr:row>1</xdr:row>
      <xdr:rowOff>52387</xdr:rowOff>
    </xdr:from>
    <xdr:to>
      <xdr:col>11</xdr:col>
      <xdr:colOff>404812</xdr:colOff>
      <xdr:row>14</xdr:row>
      <xdr:rowOff>195262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DB5432B-34B3-1AC7-6534-1E011D114A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7C8C1-CD85-F74C-9ED9-AC5F1DCFB4BF}">
  <dimension ref="A1:I55"/>
  <sheetViews>
    <sheetView topLeftCell="A38" zoomScale="125" workbookViewId="0">
      <selection activeCell="B46" sqref="B46"/>
    </sheetView>
  </sheetViews>
  <sheetFormatPr baseColWidth="10" defaultRowHeight="16" x14ac:dyDescent="0.2"/>
  <cols>
    <col min="3" max="3" width="13.1640625" bestFit="1" customWidth="1"/>
    <col min="7" max="7" width="18.6640625" bestFit="1" customWidth="1"/>
    <col min="9" max="9" width="13.6640625" customWidth="1"/>
  </cols>
  <sheetData>
    <row r="1" spans="1:9" ht="17" x14ac:dyDescent="0.2">
      <c r="A1" s="1" t="s">
        <v>0</v>
      </c>
      <c r="B1" s="2" t="s">
        <v>1</v>
      </c>
      <c r="H1" s="4" t="s">
        <v>20</v>
      </c>
      <c r="I1" s="4" t="s">
        <v>27</v>
      </c>
    </row>
    <row r="2" spans="1:9" ht="17" x14ac:dyDescent="0.2">
      <c r="A2" s="1" t="s">
        <v>2</v>
      </c>
      <c r="B2" s="2" t="s">
        <v>3</v>
      </c>
      <c r="C2" s="4" t="s">
        <v>16</v>
      </c>
      <c r="D2" s="4" t="s">
        <v>21</v>
      </c>
      <c r="E2" s="4" t="s">
        <v>26</v>
      </c>
      <c r="G2" s="4">
        <v>2023</v>
      </c>
      <c r="H2" s="7">
        <f>+PRODUCT(D4:D14)-1</f>
        <v>0.25040738728951628</v>
      </c>
      <c r="I2" s="11">
        <f>+SUM(E4:E14)</f>
        <v>0.22346940804874993</v>
      </c>
    </row>
    <row r="3" spans="1:9" x14ac:dyDescent="0.2">
      <c r="A3" s="1" t="s">
        <v>4</v>
      </c>
      <c r="B3" s="5">
        <v>147.28</v>
      </c>
      <c r="C3" s="4"/>
      <c r="D3" s="4"/>
      <c r="E3" s="4"/>
      <c r="G3" s="4">
        <v>2024</v>
      </c>
      <c r="H3" s="7">
        <f>+PRODUCT(D15:D26)-1</f>
        <v>0.28583840139009542</v>
      </c>
      <c r="I3" s="11">
        <f>+SUM(E15:E26)</f>
        <v>0.251410958036278</v>
      </c>
    </row>
    <row r="4" spans="1:9" x14ac:dyDescent="0.2">
      <c r="A4" s="3">
        <v>44958</v>
      </c>
      <c r="B4" s="5">
        <v>141.4</v>
      </c>
      <c r="C4" s="9">
        <f>+(B4-B3)/B3</f>
        <v>-3.9923954372623541E-2</v>
      </c>
      <c r="D4" s="10">
        <f>+C4+1</f>
        <v>0.96007604562737647</v>
      </c>
      <c r="E4" s="6">
        <f>+LN(B4/B3)</f>
        <v>-4.0742783462349982E-2</v>
      </c>
      <c r="G4" s="4">
        <v>2025</v>
      </c>
      <c r="H4" s="7">
        <f>+PRODUCT(D27:D38)-1</f>
        <v>-0.28610641891891875</v>
      </c>
      <c r="I4" s="11">
        <f>+SUM(E27:E38)</f>
        <v>-0.33702137385595543</v>
      </c>
    </row>
    <row r="5" spans="1:9" x14ac:dyDescent="0.2">
      <c r="A5" s="3">
        <v>44986</v>
      </c>
      <c r="B5" s="5">
        <v>161.86000000000001</v>
      </c>
      <c r="C5" s="9">
        <f t="shared" ref="C5:C38" si="0">+(B5-B4)/B4</f>
        <v>0.14469589816124476</v>
      </c>
      <c r="D5" s="10">
        <f t="shared" ref="D5:D38" si="1">+C5+1</f>
        <v>1.1446958981612447</v>
      </c>
      <c r="E5" s="6">
        <f t="shared" ref="E5:E38" si="2">+LN(B5/B4)</f>
        <v>0.13513901060508349</v>
      </c>
    </row>
    <row r="6" spans="1:9" x14ac:dyDescent="0.2">
      <c r="A6" s="1" t="s">
        <v>5</v>
      </c>
      <c r="B6" s="5">
        <v>159.41999999999999</v>
      </c>
      <c r="C6" s="9">
        <f t="shared" si="0"/>
        <v>-1.507475596194258E-2</v>
      </c>
      <c r="D6" s="10">
        <f t="shared" si="1"/>
        <v>0.98492524403805737</v>
      </c>
      <c r="E6" s="6">
        <f t="shared" si="2"/>
        <v>-1.5189535067778905E-2</v>
      </c>
      <c r="G6" s="12" t="s">
        <v>22</v>
      </c>
      <c r="H6" s="13">
        <f>+AVERAGE(H2:H4)</f>
        <v>8.3379789920230984E-2</v>
      </c>
      <c r="I6" s="14">
        <f>+AVERAGE(I2:I4)</f>
        <v>4.5952997409690832E-2</v>
      </c>
    </row>
    <row r="7" spans="1:9" x14ac:dyDescent="0.2">
      <c r="A7" s="3">
        <v>45047</v>
      </c>
      <c r="B7" s="5">
        <v>151.62</v>
      </c>
      <c r="C7" s="9">
        <f t="shared" si="0"/>
        <v>-4.8927361686112052E-2</v>
      </c>
      <c r="D7" s="10">
        <f t="shared" si="1"/>
        <v>0.951072638313888</v>
      </c>
      <c r="E7" s="6">
        <f t="shared" si="2"/>
        <v>-5.0164838371619121E-2</v>
      </c>
      <c r="G7" s="12" t="s">
        <v>23</v>
      </c>
      <c r="H7" s="12">
        <f>+_xlfn.VAR.S(H2:H4)</f>
        <v>0.10270388308179468</v>
      </c>
      <c r="I7" s="12">
        <f>+_xlfn.VAR.S(I2:I4)</f>
        <v>0.11019720933866417</v>
      </c>
    </row>
    <row r="8" spans="1:9" x14ac:dyDescent="0.2">
      <c r="A8" s="3">
        <v>45078</v>
      </c>
      <c r="B8" s="5">
        <v>178.12</v>
      </c>
      <c r="C8" s="9">
        <f t="shared" si="0"/>
        <v>0.17477905289539639</v>
      </c>
      <c r="D8" s="10">
        <f t="shared" si="1"/>
        <v>1.1747790528953963</v>
      </c>
      <c r="E8" s="6">
        <f t="shared" si="2"/>
        <v>0.16108008982534369</v>
      </c>
      <c r="G8" s="12" t="s">
        <v>19</v>
      </c>
      <c r="H8" s="15">
        <f>+SQRT(H7)</f>
        <v>0.32047446556909132</v>
      </c>
      <c r="I8" s="15">
        <f>+SQRT(I7)</f>
        <v>0.33195965016649864</v>
      </c>
    </row>
    <row r="9" spans="1:9" x14ac:dyDescent="0.2">
      <c r="A9" s="3">
        <v>45108</v>
      </c>
      <c r="B9" s="5">
        <v>184.02</v>
      </c>
      <c r="C9" s="9">
        <f t="shared" si="0"/>
        <v>3.3123736806647236E-2</v>
      </c>
      <c r="D9" s="10">
        <f t="shared" si="1"/>
        <v>1.0331237368066473</v>
      </c>
      <c r="E9" s="6">
        <f t="shared" si="2"/>
        <v>3.2586966900713596E-2</v>
      </c>
    </row>
    <row r="10" spans="1:9" x14ac:dyDescent="0.2">
      <c r="A10" s="1" t="s">
        <v>6</v>
      </c>
      <c r="B10" s="5">
        <v>184.58</v>
      </c>
      <c r="C10" s="9">
        <f t="shared" si="0"/>
        <v>3.043147483969146E-3</v>
      </c>
      <c r="D10" s="10">
        <f t="shared" si="1"/>
        <v>1.0030431474839692</v>
      </c>
      <c r="E10" s="6">
        <f t="shared" si="2"/>
        <v>3.0385264832155281E-3</v>
      </c>
      <c r="G10" s="16" t="s">
        <v>24</v>
      </c>
      <c r="H10" s="16">
        <f>+H8/(SQRT(3))</f>
        <v>0.18502601896471635</v>
      </c>
      <c r="I10" s="16">
        <f>+I8/(SQRT(3))</f>
        <v>0.191656993383722</v>
      </c>
    </row>
    <row r="11" spans="1:9" x14ac:dyDescent="0.2">
      <c r="A11" s="3">
        <v>45170</v>
      </c>
      <c r="B11" s="5">
        <v>165.86</v>
      </c>
      <c r="C11" s="9">
        <f t="shared" si="0"/>
        <v>-0.10141943872575576</v>
      </c>
      <c r="D11" s="10">
        <f t="shared" si="1"/>
        <v>0.89858056127424424</v>
      </c>
      <c r="E11" s="6">
        <f t="shared" si="2"/>
        <v>-0.10693891481437297</v>
      </c>
    </row>
    <row r="12" spans="1:9" x14ac:dyDescent="0.2">
      <c r="A12" s="3">
        <v>45200</v>
      </c>
      <c r="B12" s="5">
        <v>167.22</v>
      </c>
      <c r="C12" s="9">
        <f t="shared" si="0"/>
        <v>8.1996864825755762E-3</v>
      </c>
      <c r="D12" s="10">
        <f t="shared" si="1"/>
        <v>1.0081996864825755</v>
      </c>
      <c r="E12" s="6">
        <f t="shared" si="2"/>
        <v>8.1662516988540105E-3</v>
      </c>
      <c r="G12" s="12" t="s">
        <v>25</v>
      </c>
      <c r="H12" s="15">
        <f>+H6+(1.96*H10)</f>
        <v>0.44603078709107502</v>
      </c>
      <c r="I12" s="15">
        <f>+I6+(1.96*I10)</f>
        <v>0.42160070444178593</v>
      </c>
    </row>
    <row r="13" spans="1:9" x14ac:dyDescent="0.2">
      <c r="A13" s="3">
        <v>45231</v>
      </c>
      <c r="B13" s="5">
        <v>192.06</v>
      </c>
      <c r="C13" s="9">
        <f t="shared" si="0"/>
        <v>0.14854682454251886</v>
      </c>
      <c r="D13" s="10">
        <f t="shared" si="1"/>
        <v>1.1485468245425188</v>
      </c>
      <c r="E13" s="6">
        <f t="shared" si="2"/>
        <v>0.13849751248791478</v>
      </c>
      <c r="G13" s="12"/>
      <c r="H13" s="15">
        <f>+H6-(1.96*H10)</f>
        <v>-0.27927120725061305</v>
      </c>
      <c r="I13" s="15">
        <f>+I6-(1.96*I10)</f>
        <v>-0.32969470962240427</v>
      </c>
    </row>
    <row r="14" spans="1:9" x14ac:dyDescent="0.2">
      <c r="A14" s="1" t="s">
        <v>7</v>
      </c>
      <c r="B14" s="5">
        <v>184.16</v>
      </c>
      <c r="C14" s="9">
        <f t="shared" si="0"/>
        <v>-4.1132979277309203E-2</v>
      </c>
      <c r="D14" s="10">
        <f t="shared" si="1"/>
        <v>0.95886702072269081</v>
      </c>
      <c r="E14" s="6">
        <f t="shared" si="2"/>
        <v>-4.200287823625419E-2</v>
      </c>
    </row>
    <row r="15" spans="1:9" x14ac:dyDescent="0.2">
      <c r="A15" s="1" t="s">
        <v>8</v>
      </c>
      <c r="B15" s="5">
        <v>162.94</v>
      </c>
      <c r="C15" s="9">
        <f t="shared" si="0"/>
        <v>-0.11522589052997394</v>
      </c>
      <c r="D15" s="10">
        <f t="shared" si="1"/>
        <v>0.8847741094700261</v>
      </c>
      <c r="E15" s="6">
        <f t="shared" si="2"/>
        <v>-0.12242291009107675</v>
      </c>
    </row>
    <row r="16" spans="1:9" x14ac:dyDescent="0.2">
      <c r="A16" s="3">
        <v>45323</v>
      </c>
      <c r="B16" s="5">
        <v>187.16</v>
      </c>
      <c r="C16" s="9">
        <f t="shared" si="0"/>
        <v>0.14864367251749111</v>
      </c>
      <c r="D16" s="10">
        <f t="shared" si="1"/>
        <v>1.1486436725174911</v>
      </c>
      <c r="E16" s="6">
        <f t="shared" si="2"/>
        <v>0.13858183111551983</v>
      </c>
    </row>
    <row r="17" spans="1:5" x14ac:dyDescent="0.2">
      <c r="A17" s="3">
        <v>45352</v>
      </c>
      <c r="B17" s="5">
        <v>206.75</v>
      </c>
      <c r="C17" s="9">
        <f t="shared" si="0"/>
        <v>0.10466980123958113</v>
      </c>
      <c r="D17" s="10">
        <f t="shared" si="1"/>
        <v>1.104669801239581</v>
      </c>
      <c r="E17" s="6">
        <f t="shared" si="2"/>
        <v>9.9546467905785085E-2</v>
      </c>
    </row>
    <row r="18" spans="1:5" x14ac:dyDescent="0.2">
      <c r="A18" s="1" t="s">
        <v>9</v>
      </c>
      <c r="B18" s="5">
        <v>225.8</v>
      </c>
      <c r="C18" s="9">
        <f t="shared" si="0"/>
        <v>9.2140266021765477E-2</v>
      </c>
      <c r="D18" s="10">
        <f t="shared" si="1"/>
        <v>1.0921402660217654</v>
      </c>
      <c r="E18" s="6">
        <f t="shared" si="2"/>
        <v>8.8139317811760931E-2</v>
      </c>
    </row>
    <row r="19" spans="1:5" x14ac:dyDescent="0.2">
      <c r="A19" s="3">
        <v>45413</v>
      </c>
      <c r="B19" s="5">
        <v>231.9</v>
      </c>
      <c r="C19" s="9">
        <f t="shared" si="0"/>
        <v>2.701505757307349E-2</v>
      </c>
      <c r="D19" s="10">
        <f t="shared" si="1"/>
        <v>1.0270150575730734</v>
      </c>
      <c r="E19" s="6">
        <f t="shared" si="2"/>
        <v>2.6656592545924243E-2</v>
      </c>
    </row>
    <row r="20" spans="1:5" x14ac:dyDescent="0.2">
      <c r="A20" s="3">
        <v>45444</v>
      </c>
      <c r="B20" s="5">
        <v>223.3</v>
      </c>
      <c r="C20" s="9">
        <f t="shared" si="0"/>
        <v>-3.7084950409659312E-2</v>
      </c>
      <c r="D20" s="10">
        <f t="shared" si="1"/>
        <v>0.96291504959034069</v>
      </c>
      <c r="E20" s="6">
        <f t="shared" si="2"/>
        <v>-3.779008541537375E-2</v>
      </c>
    </row>
    <row r="21" spans="1:5" x14ac:dyDescent="0.2">
      <c r="A21" s="3">
        <v>45474</v>
      </c>
      <c r="B21" s="5">
        <v>230.1</v>
      </c>
      <c r="C21" s="9">
        <f t="shared" si="0"/>
        <v>3.0452306314375201E-2</v>
      </c>
      <c r="D21" s="10">
        <f t="shared" si="1"/>
        <v>1.0304523063143751</v>
      </c>
      <c r="E21" s="6">
        <f t="shared" si="2"/>
        <v>2.9997838195207849E-2</v>
      </c>
    </row>
    <row r="22" spans="1:5" x14ac:dyDescent="0.2">
      <c r="A22" s="1" t="s">
        <v>10</v>
      </c>
      <c r="B22" s="5">
        <v>231.5</v>
      </c>
      <c r="C22" s="9">
        <f t="shared" si="0"/>
        <v>6.084311169056957E-3</v>
      </c>
      <c r="D22" s="10">
        <f t="shared" si="1"/>
        <v>1.0060843111690569</v>
      </c>
      <c r="E22" s="6">
        <f t="shared" si="2"/>
        <v>6.0658764849685831E-3</v>
      </c>
    </row>
    <row r="23" spans="1:5" x14ac:dyDescent="0.2">
      <c r="A23" s="3">
        <v>45536</v>
      </c>
      <c r="B23" s="5">
        <v>238</v>
      </c>
      <c r="C23" s="9">
        <f t="shared" si="0"/>
        <v>2.8077753779697623E-2</v>
      </c>
      <c r="D23" s="10">
        <f t="shared" si="1"/>
        <v>1.0280777537796977</v>
      </c>
      <c r="E23" s="6">
        <f t="shared" si="2"/>
        <v>2.7690800145185983E-2</v>
      </c>
    </row>
    <row r="24" spans="1:5" x14ac:dyDescent="0.2">
      <c r="A24" s="3">
        <v>45566</v>
      </c>
      <c r="B24" s="5">
        <v>220.3</v>
      </c>
      <c r="C24" s="9">
        <f t="shared" si="0"/>
        <v>-7.4369747899159622E-2</v>
      </c>
      <c r="D24" s="10">
        <f t="shared" si="1"/>
        <v>0.92563025210084038</v>
      </c>
      <c r="E24" s="6">
        <f t="shared" si="2"/>
        <v>-7.7280419863177213E-2</v>
      </c>
    </row>
    <row r="25" spans="1:5" x14ac:dyDescent="0.2">
      <c r="A25" s="3">
        <v>45597</v>
      </c>
      <c r="B25" s="5">
        <v>222.8</v>
      </c>
      <c r="C25" s="9">
        <f t="shared" si="0"/>
        <v>1.1348161597821153E-2</v>
      </c>
      <c r="D25" s="10">
        <f t="shared" si="1"/>
        <v>1.0113481615978213</v>
      </c>
      <c r="E25" s="6">
        <f t="shared" si="2"/>
        <v>1.1284254244831622E-2</v>
      </c>
    </row>
    <row r="26" spans="1:5" x14ac:dyDescent="0.2">
      <c r="A26" s="1" t="s">
        <v>11</v>
      </c>
      <c r="B26" s="5">
        <v>236.8</v>
      </c>
      <c r="C26" s="9">
        <f t="shared" si="0"/>
        <v>6.283662477558348E-2</v>
      </c>
      <c r="D26" s="10">
        <f t="shared" si="1"/>
        <v>1.0628366247755834</v>
      </c>
      <c r="E26" s="6">
        <f t="shared" si="2"/>
        <v>6.0941394956721566E-2</v>
      </c>
    </row>
    <row r="27" spans="1:5" x14ac:dyDescent="0.2">
      <c r="A27" s="1" t="s">
        <v>12</v>
      </c>
      <c r="B27" s="5">
        <v>253.4</v>
      </c>
      <c r="C27" s="9">
        <f t="shared" si="0"/>
        <v>7.0101351351351329E-2</v>
      </c>
      <c r="D27" s="10">
        <f t="shared" si="1"/>
        <v>1.0701013513513513</v>
      </c>
      <c r="E27" s="6">
        <f t="shared" si="2"/>
        <v>6.7753364877188027E-2</v>
      </c>
    </row>
    <row r="28" spans="1:5" x14ac:dyDescent="0.2">
      <c r="A28" s="3">
        <v>45689</v>
      </c>
      <c r="B28" s="5">
        <v>244.7</v>
      </c>
      <c r="C28" s="9">
        <f t="shared" si="0"/>
        <v>-3.4333070244672519E-2</v>
      </c>
      <c r="D28" s="10">
        <f t="shared" si="1"/>
        <v>0.96566692975532753</v>
      </c>
      <c r="E28" s="6">
        <f t="shared" si="2"/>
        <v>-3.4936297438412714E-2</v>
      </c>
    </row>
    <row r="29" spans="1:5" x14ac:dyDescent="0.2">
      <c r="A29" s="3">
        <v>45717</v>
      </c>
      <c r="B29" s="5">
        <v>217.8</v>
      </c>
      <c r="C29" s="9">
        <f t="shared" si="0"/>
        <v>-0.10993052717613395</v>
      </c>
      <c r="D29" s="10">
        <f t="shared" si="1"/>
        <v>0.89006947282386606</v>
      </c>
      <c r="E29" s="6">
        <f t="shared" si="2"/>
        <v>-0.11645575994976577</v>
      </c>
    </row>
    <row r="30" spans="1:5" x14ac:dyDescent="0.2">
      <c r="A30" s="1" t="s">
        <v>13</v>
      </c>
      <c r="B30" s="5">
        <v>202.9</v>
      </c>
      <c r="C30" s="9">
        <f t="shared" si="0"/>
        <v>-6.8411386593204795E-2</v>
      </c>
      <c r="D30" s="10">
        <f t="shared" si="1"/>
        <v>0.93158861340679522</v>
      </c>
      <c r="E30" s="6">
        <f t="shared" si="2"/>
        <v>-7.0863963667091051E-2</v>
      </c>
    </row>
    <row r="31" spans="1:5" x14ac:dyDescent="0.2">
      <c r="A31" s="3">
        <v>45778</v>
      </c>
      <c r="B31" s="5">
        <v>220.5</v>
      </c>
      <c r="C31" s="9">
        <f t="shared" si="0"/>
        <v>8.6742237555446008E-2</v>
      </c>
      <c r="D31" s="10">
        <f t="shared" si="1"/>
        <v>1.0867422375554461</v>
      </c>
      <c r="E31" s="6">
        <f t="shared" si="2"/>
        <v>8.3184448055131671E-2</v>
      </c>
    </row>
    <row r="32" spans="1:5" x14ac:dyDescent="0.2">
      <c r="A32" s="3">
        <v>45809</v>
      </c>
      <c r="B32" s="5">
        <v>198.05</v>
      </c>
      <c r="C32" s="9">
        <f t="shared" si="0"/>
        <v>-0.10181405895691605</v>
      </c>
      <c r="D32" s="10">
        <f t="shared" si="1"/>
        <v>0.89818594104308391</v>
      </c>
      <c r="E32" s="6">
        <f t="shared" si="2"/>
        <v>-0.10737817081897502</v>
      </c>
    </row>
    <row r="33" spans="1:5" x14ac:dyDescent="0.2">
      <c r="A33" s="3">
        <v>45839</v>
      </c>
      <c r="B33" s="5">
        <v>167.25</v>
      </c>
      <c r="C33" s="9">
        <f t="shared" si="0"/>
        <v>-0.15551628376672563</v>
      </c>
      <c r="D33" s="10">
        <f t="shared" si="1"/>
        <v>0.84448371623327434</v>
      </c>
      <c r="E33" s="6">
        <f t="shared" si="2"/>
        <v>-0.16902982505958791</v>
      </c>
    </row>
    <row r="34" spans="1:5" x14ac:dyDescent="0.2">
      <c r="A34" s="1" t="s">
        <v>14</v>
      </c>
      <c r="B34" s="5">
        <v>166.65</v>
      </c>
      <c r="C34" s="9">
        <f t="shared" si="0"/>
        <v>-3.587443946188307E-3</v>
      </c>
      <c r="D34" s="10">
        <f t="shared" si="1"/>
        <v>0.99641255605381174</v>
      </c>
      <c r="E34" s="6">
        <f t="shared" si="2"/>
        <v>-3.5938942545890597E-3</v>
      </c>
    </row>
    <row r="35" spans="1:5" x14ac:dyDescent="0.2">
      <c r="A35" s="3">
        <v>45901</v>
      </c>
      <c r="B35" s="5">
        <v>180.05</v>
      </c>
      <c r="C35" s="9">
        <f t="shared" si="0"/>
        <v>8.0408040804080441E-2</v>
      </c>
      <c r="D35" s="10">
        <f t="shared" si="1"/>
        <v>1.0804080408040804</v>
      </c>
      <c r="E35" s="6">
        <f t="shared" si="2"/>
        <v>7.7338785341135516E-2</v>
      </c>
    </row>
    <row r="36" spans="1:5" x14ac:dyDescent="0.2">
      <c r="A36" s="3">
        <v>45931</v>
      </c>
      <c r="B36" s="5">
        <v>163.95</v>
      </c>
      <c r="C36" s="9">
        <f t="shared" si="0"/>
        <v>-8.9419605665093146E-2</v>
      </c>
      <c r="D36" s="10">
        <f t="shared" si="1"/>
        <v>0.9105803943349069</v>
      </c>
      <c r="E36" s="6">
        <f t="shared" si="2"/>
        <v>-9.3673086804227063E-2</v>
      </c>
    </row>
    <row r="37" spans="1:5" x14ac:dyDescent="0.2">
      <c r="A37" s="3">
        <v>45962</v>
      </c>
      <c r="B37" s="5">
        <v>160.05000000000001</v>
      </c>
      <c r="C37" s="9">
        <f t="shared" si="0"/>
        <v>-2.3787740164684219E-2</v>
      </c>
      <c r="D37" s="10">
        <f t="shared" si="1"/>
        <v>0.97621225983531579</v>
      </c>
      <c r="E37" s="6">
        <f t="shared" si="2"/>
        <v>-2.407523687478505E-2</v>
      </c>
    </row>
    <row r="38" spans="1:5" x14ac:dyDescent="0.2">
      <c r="A38" s="1" t="s">
        <v>15</v>
      </c>
      <c r="B38" s="17">
        <v>169.05</v>
      </c>
      <c r="C38" s="9">
        <f t="shared" si="0"/>
        <v>5.6232427366447978E-2</v>
      </c>
      <c r="D38" s="10">
        <f t="shared" si="1"/>
        <v>1.0562324273664481</v>
      </c>
      <c r="E38" s="6">
        <f t="shared" si="2"/>
        <v>5.4708262738023011E-2</v>
      </c>
    </row>
    <row r="40" spans="1:5" x14ac:dyDescent="0.2">
      <c r="A40" s="12" t="s">
        <v>17</v>
      </c>
      <c r="B40" s="12"/>
      <c r="C40" s="18">
        <f>+AVERAGE(C4:C38)</f>
        <v>7.3480332303419663E-3</v>
      </c>
    </row>
    <row r="41" spans="1:5" x14ac:dyDescent="0.2">
      <c r="A41" t="s">
        <v>18</v>
      </c>
      <c r="C41">
        <f>+_xlfn.VAR.S(C4:C38)</f>
        <v>7.0719581857188758E-3</v>
      </c>
    </row>
    <row r="42" spans="1:5" x14ac:dyDescent="0.2">
      <c r="A42" s="12" t="s">
        <v>19</v>
      </c>
      <c r="B42" s="12"/>
      <c r="C42" s="19">
        <f>+SQRT(C41)</f>
        <v>8.4094935553330891E-2</v>
      </c>
    </row>
    <row r="44" spans="1:5" x14ac:dyDescent="0.2">
      <c r="A44" s="20">
        <v>46023</v>
      </c>
      <c r="B44" s="4">
        <f ca="1">+B38*EXP(C44)</f>
        <v>170.49100450115975</v>
      </c>
      <c r="C44" s="7">
        <f ca="1">+_xlfn.NORM.INV(RAND(),$C$40,$C$42)</f>
        <v>8.488006653854116E-3</v>
      </c>
    </row>
    <row r="45" spans="1:5" x14ac:dyDescent="0.2">
      <c r="A45" s="20">
        <v>46054</v>
      </c>
      <c r="B45" s="4">
        <f ca="1">+B44*EXP(C45)</f>
        <v>162.35539936178805</v>
      </c>
      <c r="C45" s="7">
        <f ca="1">+_xlfn.NORM.INV(RAND(),$C$40,$C$42)</f>
        <v>-4.8894780270872705E-2</v>
      </c>
    </row>
    <row r="46" spans="1:5" x14ac:dyDescent="0.2">
      <c r="A46" s="20">
        <v>46082</v>
      </c>
      <c r="B46" s="4">
        <f t="shared" ref="B46:B55" ca="1" si="3">+B45*EXP(C46)</f>
        <v>173.48300362993604</v>
      </c>
      <c r="C46" s="7">
        <f t="shared" ref="C46:C55" ca="1" si="4">+_xlfn.NORM.INV(RAND(),$C$40,$C$42)</f>
        <v>6.6291877264356022E-2</v>
      </c>
    </row>
    <row r="47" spans="1:5" x14ac:dyDescent="0.2">
      <c r="A47" s="20">
        <v>46113</v>
      </c>
      <c r="B47" s="4">
        <f t="shared" ca="1" si="3"/>
        <v>174.01568509986228</v>
      </c>
      <c r="C47" s="7">
        <f t="shared" ca="1" si="4"/>
        <v>3.0658066026297663E-3</v>
      </c>
    </row>
    <row r="48" spans="1:5" x14ac:dyDescent="0.2">
      <c r="A48" s="20">
        <v>46143</v>
      </c>
      <c r="B48" s="4">
        <f t="shared" ca="1" si="3"/>
        <v>193.99379192712297</v>
      </c>
      <c r="C48" s="7">
        <f t="shared" ca="1" si="4"/>
        <v>0.10868071877178821</v>
      </c>
    </row>
    <row r="49" spans="1:3" x14ac:dyDescent="0.2">
      <c r="A49" s="20">
        <v>46174</v>
      </c>
      <c r="B49" s="4">
        <f t="shared" ca="1" si="3"/>
        <v>186.06553466110705</v>
      </c>
      <c r="C49" s="7">
        <f t="shared" ca="1" si="4"/>
        <v>-4.1727209630841915E-2</v>
      </c>
    </row>
    <row r="50" spans="1:3" x14ac:dyDescent="0.2">
      <c r="A50" s="20">
        <v>46204</v>
      </c>
      <c r="B50" s="4">
        <f t="shared" ca="1" si="3"/>
        <v>170.56869844896838</v>
      </c>
      <c r="C50" s="7">
        <f t="shared" ca="1" si="4"/>
        <v>-8.6960809518733931E-2</v>
      </c>
    </row>
    <row r="51" spans="1:3" x14ac:dyDescent="0.2">
      <c r="A51" s="20">
        <v>46235</v>
      </c>
      <c r="B51" s="4">
        <f t="shared" ca="1" si="3"/>
        <v>171.40230785284129</v>
      </c>
      <c r="C51" s="7">
        <f t="shared" ca="1" si="4"/>
        <v>4.875331765983852E-3</v>
      </c>
    </row>
    <row r="52" spans="1:3" x14ac:dyDescent="0.2">
      <c r="A52" s="20">
        <v>46266</v>
      </c>
      <c r="B52" s="4">
        <f t="shared" ca="1" si="3"/>
        <v>167.76731109845142</v>
      </c>
      <c r="C52" s="7">
        <f t="shared" ca="1" si="4"/>
        <v>-2.1435504446696958E-2</v>
      </c>
    </row>
    <row r="53" spans="1:3" x14ac:dyDescent="0.2">
      <c r="A53" s="20">
        <v>46296</v>
      </c>
      <c r="B53" s="4">
        <f t="shared" ca="1" si="3"/>
        <v>164.81864276407427</v>
      </c>
      <c r="C53" s="7">
        <f t="shared" ca="1" si="4"/>
        <v>-1.7732231699566406E-2</v>
      </c>
    </row>
    <row r="54" spans="1:3" x14ac:dyDescent="0.2">
      <c r="A54" s="20">
        <v>46327</v>
      </c>
      <c r="B54" s="4">
        <f t="shared" ca="1" si="3"/>
        <v>182.70530307675509</v>
      </c>
      <c r="C54" s="7">
        <f t="shared" ca="1" si="4"/>
        <v>0.10302875446226384</v>
      </c>
    </row>
    <row r="55" spans="1:3" x14ac:dyDescent="0.2">
      <c r="A55" s="20">
        <v>46357</v>
      </c>
      <c r="B55" s="4">
        <f t="shared" ca="1" si="3"/>
        <v>179.70251205011087</v>
      </c>
      <c r="C55" s="7">
        <f t="shared" ca="1" si="4"/>
        <v>-1.6571716283748976E-2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BB5BD-B141-4C48-AF58-558A04850B95}">
  <dimension ref="A2:D14"/>
  <sheetViews>
    <sheetView tabSelected="1" workbookViewId="0">
      <selection activeCell="E9" sqref="E9"/>
    </sheetView>
  </sheetViews>
  <sheetFormatPr baseColWidth="10" defaultRowHeight="16" x14ac:dyDescent="0.2"/>
  <sheetData>
    <row r="2" spans="1:4" x14ac:dyDescent="0.2">
      <c r="A2" t="s">
        <v>31</v>
      </c>
      <c r="B2" t="s">
        <v>28</v>
      </c>
      <c r="C2" t="s">
        <v>29</v>
      </c>
      <c r="D2" t="s">
        <v>30</v>
      </c>
    </row>
    <row r="3" spans="1:4" x14ac:dyDescent="0.2">
      <c r="A3" s="20">
        <v>46023</v>
      </c>
      <c r="B3" s="8">
        <v>0.16119930512667546</v>
      </c>
      <c r="C3" s="7">
        <v>-6.2878774024143574E-2</v>
      </c>
      <c r="D3" s="7">
        <v>0.12608484883411614</v>
      </c>
    </row>
    <row r="4" spans="1:4" x14ac:dyDescent="0.2">
      <c r="A4" s="20">
        <v>46054</v>
      </c>
      <c r="B4" s="8">
        <v>0.12015956209677391</v>
      </c>
      <c r="C4" s="7">
        <v>6.5839182910371774E-2</v>
      </c>
      <c r="D4" s="7">
        <v>0.10901844008883052</v>
      </c>
    </row>
    <row r="5" spans="1:4" x14ac:dyDescent="0.2">
      <c r="A5" s="20">
        <v>46082</v>
      </c>
      <c r="B5" s="8">
        <v>-2.8806176452035773E-2</v>
      </c>
      <c r="C5" s="7">
        <v>-4.7893945025400529E-2</v>
      </c>
      <c r="D5" s="7">
        <v>5.9107726907867246E-2</v>
      </c>
    </row>
    <row r="6" spans="1:4" x14ac:dyDescent="0.2">
      <c r="A6" s="20">
        <v>46113</v>
      </c>
      <c r="B6" s="8">
        <v>-4.7883608497516356E-2</v>
      </c>
      <c r="C6" s="7">
        <v>-0.17483874214933795</v>
      </c>
      <c r="D6" s="7">
        <v>-2.5285955029494843E-2</v>
      </c>
    </row>
    <row r="7" spans="1:4" x14ac:dyDescent="0.2">
      <c r="A7" s="20">
        <v>46143</v>
      </c>
      <c r="B7" s="8">
        <v>-5.7734632098497961E-2</v>
      </c>
      <c r="C7" s="7">
        <v>0.10351229319560695</v>
      </c>
      <c r="D7" s="7">
        <v>7.1825372095142517E-2</v>
      </c>
    </row>
    <row r="8" spans="1:4" x14ac:dyDescent="0.2">
      <c r="A8" s="20">
        <v>46174</v>
      </c>
      <c r="B8" s="8">
        <v>8.2966117377186233E-2</v>
      </c>
      <c r="C8" s="7">
        <v>-5.5578094989655664E-2</v>
      </c>
      <c r="D8" s="7">
        <v>0.10137170586849373</v>
      </c>
    </row>
    <row r="9" spans="1:4" x14ac:dyDescent="0.2">
      <c r="A9" s="20">
        <v>46204</v>
      </c>
      <c r="B9" s="8">
        <v>9.6246098506453354E-2</v>
      </c>
      <c r="C9" s="7">
        <v>7.2087543797332093E-2</v>
      </c>
      <c r="D9" s="7">
        <v>4.547259624813791E-2</v>
      </c>
    </row>
    <row r="10" spans="1:4" x14ac:dyDescent="0.2">
      <c r="A10" s="20">
        <v>46235</v>
      </c>
      <c r="B10" s="8">
        <v>0.13007380439019267</v>
      </c>
      <c r="C10" s="7">
        <v>4.589621530628147E-2</v>
      </c>
      <c r="D10" s="7">
        <v>-4.4068197568477435E-2</v>
      </c>
    </row>
    <row r="11" spans="1:4" x14ac:dyDescent="0.2">
      <c r="A11" s="20">
        <v>46266</v>
      </c>
      <c r="B11" s="8">
        <v>6.377415446822067E-2</v>
      </c>
      <c r="C11" s="7">
        <v>-7.3887280453989596E-2</v>
      </c>
      <c r="D11" s="7">
        <v>3.8487457985749873E-2</v>
      </c>
    </row>
    <row r="12" spans="1:4" x14ac:dyDescent="0.2">
      <c r="A12" s="20">
        <v>46296</v>
      </c>
      <c r="B12" s="8">
        <v>0.14256873740412093</v>
      </c>
      <c r="C12" s="7">
        <v>-3.9202522720270788E-4</v>
      </c>
      <c r="D12" s="7">
        <v>9.0201246085568672E-3</v>
      </c>
    </row>
    <row r="13" spans="1:4" x14ac:dyDescent="0.2">
      <c r="A13" s="20">
        <v>46327</v>
      </c>
      <c r="B13" s="8">
        <v>-0.11790548395140274</v>
      </c>
      <c r="C13" s="7">
        <v>-2.7077506789785141E-2</v>
      </c>
      <c r="D13" s="7">
        <v>-1.3744316122597361E-2</v>
      </c>
    </row>
    <row r="14" spans="1:4" x14ac:dyDescent="0.2">
      <c r="A14" s="20">
        <v>46357</v>
      </c>
      <c r="B14" s="8">
        <v>-8.5047684172760724E-3</v>
      </c>
      <c r="C14" s="7">
        <v>3.8954834404373681E-2</v>
      </c>
      <c r="D14" s="7">
        <v>2.4256188890657927E-2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Roxana Pincheira L.</dc:creator>
  <cp:lastModifiedBy>Vicente Altamirano A.</cp:lastModifiedBy>
  <dcterms:created xsi:type="dcterms:W3CDTF">2026-10-07T11:34:28Z</dcterms:created>
  <dcterms:modified xsi:type="dcterms:W3CDTF">2026-10-24T16:37:11Z</dcterms:modified>
</cp:coreProperties>
</file>