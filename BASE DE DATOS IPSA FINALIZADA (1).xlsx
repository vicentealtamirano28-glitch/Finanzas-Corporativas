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entealtamiranoaristondo/Downloads/"/>
    </mc:Choice>
  </mc:AlternateContent>
  <xr:revisionPtr revIDLastSave="0" documentId="13_ncr:1_{B89D11B7-1678-4E43-98B8-7B53F833884F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Hoja 1" sheetId="1" r:id="rId1"/>
    <sheet name="Hoja 2" sheetId="2" r:id="rId2"/>
    <sheet name="Hoja 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5" i="2"/>
  <c r="I10" i="1"/>
  <c r="H10" i="1" s="1"/>
  <c r="I45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5" i="1"/>
  <c r="H4" i="1"/>
  <c r="H3" i="1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D21" i="3" s="1"/>
  <c r="D22" i="3" s="1"/>
  <c r="D24" i="3" s="1"/>
  <c r="C3" i="3"/>
  <c r="C21" i="3" s="1"/>
  <c r="C22" i="3" s="1"/>
  <c r="C24" i="3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5" i="1"/>
  <c r="H11" i="1" l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C20" i="3"/>
  <c r="D20" i="3"/>
  <c r="D27" i="3" l="1"/>
  <c r="D26" i="3"/>
  <c r="C27" i="3"/>
  <c r="C26" i="3"/>
</calcChain>
</file>

<file path=xl/sharedStrings.xml><?xml version="1.0" encoding="utf-8"?>
<sst xmlns="http://schemas.openxmlformats.org/spreadsheetml/2006/main" count="25" uniqueCount="24">
  <si>
    <t>Indicadores bursátiles</t>
  </si>
  <si>
    <t/>
  </si>
  <si>
    <t>Periodo</t>
  </si>
  <si>
    <t>1. IPSA  (índice enero 2003=1000)</t>
  </si>
  <si>
    <t>Retorno simple</t>
  </si>
  <si>
    <t>Retorno +1</t>
  </si>
  <si>
    <t>Retorno LN</t>
  </si>
  <si>
    <t>Retorno real</t>
  </si>
  <si>
    <t>retorno real ln</t>
  </si>
  <si>
    <t>Retorno esperado</t>
  </si>
  <si>
    <t xml:space="preserve">VAR </t>
  </si>
  <si>
    <t>SD</t>
  </si>
  <si>
    <t>Error estandar</t>
  </si>
  <si>
    <t>Intervalo de confianza</t>
  </si>
  <si>
    <t xml:space="preserve">Retorno promedio mensual </t>
  </si>
  <si>
    <t>Var</t>
  </si>
  <si>
    <t>Mes</t>
  </si>
  <si>
    <t>Escenario 1</t>
  </si>
  <si>
    <t>Escenario 2</t>
  </si>
  <si>
    <t>Escenario 3</t>
  </si>
  <si>
    <t>Escenario 4</t>
  </si>
  <si>
    <t>Escenario 5</t>
  </si>
  <si>
    <t>Base simple</t>
  </si>
  <si>
    <t>Base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</si>
</sst>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.yyyy"/>
    <numFmt numFmtId="165" formatCode="0.000%"/>
    <numFmt numFmtId="166" formatCode="0.0000%"/>
    <numFmt numFmtId="167" formatCode="mmm\-yy"/>
  </numFmts>
  <fonts count="6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10" fontId="0" fillId="0" borderId="0" xfId="1" applyNumberFormat="1" applyFont="1"/>
    <xf numFmtId="0" fontId="4" fillId="0" borderId="2" xfId="0" applyFont="1" applyBorder="1"/>
    <xf numFmtId="10" fontId="0" fillId="0" borderId="2" xfId="1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10" fontId="0" fillId="0" borderId="0" xfId="0" applyNumberFormat="1"/>
    <xf numFmtId="165" fontId="4" fillId="0" borderId="2" xfId="1" applyNumberFormat="1" applyFont="1" applyBorder="1"/>
    <xf numFmtId="166" fontId="4" fillId="0" borderId="2" xfId="1" applyNumberFormat="1" applyFont="1" applyBorder="1"/>
    <xf numFmtId="167" fontId="5" fillId="0" borderId="3" xfId="0" applyNumberFormat="1" applyFont="1" applyBorder="1"/>
    <xf numFmtId="167" fontId="5" fillId="0" borderId="2" xfId="0" applyNumberFormat="1" applyFont="1" applyBorder="1"/>
    <xf numFmtId="0" fontId="2" fillId="0" borderId="2" xfId="0" applyFont="1" applyBorder="1"/>
    <xf numFmtId="0" fontId="1" fillId="2" borderId="1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Paseo aleatorio — retornos mensuales simulados (5 escenarios)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'Hoja 2'!$B$4</c:f>
              <c:strCache>
                <c:ptCount val="1"/>
                <c:pt idx="0">
                  <c:v>Escenario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2'!$B$5:$B$40</c:f>
              <c:numCache>
                <c:formatCode>General</c:formatCode>
                <c:ptCount val="36"/>
                <c:pt idx="0">
                  <c:v>-2.5889916560528154E-2</c:v>
                </c:pt>
                <c:pt idx="1">
                  <c:v>-3.0941584107042199E-2</c:v>
                </c:pt>
                <c:pt idx="2">
                  <c:v>1.3811712394998323E-2</c:v>
                </c:pt>
                <c:pt idx="3">
                  <c:v>2.9907246267873572E-2</c:v>
                </c:pt>
                <c:pt idx="4">
                  <c:v>0.12495879002080636</c:v>
                </c:pt>
                <c:pt idx="5">
                  <c:v>-4.992017689382987E-3</c:v>
                </c:pt>
                <c:pt idx="6">
                  <c:v>4.217242464078369E-2</c:v>
                </c:pt>
                <c:pt idx="7">
                  <c:v>-8.065321405284924E-2</c:v>
                </c:pt>
                <c:pt idx="8">
                  <c:v>1.8222286625285529E-2</c:v>
                </c:pt>
                <c:pt idx="9">
                  <c:v>-5.5084790418092278E-2</c:v>
                </c:pt>
                <c:pt idx="10">
                  <c:v>-1.5740312911670711E-2</c:v>
                </c:pt>
                <c:pt idx="11">
                  <c:v>6.0159029437266691E-2</c:v>
                </c:pt>
                <c:pt idx="12">
                  <c:v>4.6903604428902824E-2</c:v>
                </c:pt>
                <c:pt idx="13">
                  <c:v>-3.5629310243743056E-3</c:v>
                </c:pt>
                <c:pt idx="14">
                  <c:v>7.4083181012107244E-2</c:v>
                </c:pt>
                <c:pt idx="15">
                  <c:v>3.7900815957655201E-3</c:v>
                </c:pt>
                <c:pt idx="16">
                  <c:v>3.9597847435035839E-2</c:v>
                </c:pt>
                <c:pt idx="17">
                  <c:v>8.2191070623208115E-2</c:v>
                </c:pt>
                <c:pt idx="18">
                  <c:v>5.3801319795352243E-2</c:v>
                </c:pt>
                <c:pt idx="19">
                  <c:v>7.8194471500923953E-3</c:v>
                </c:pt>
                <c:pt idx="20">
                  <c:v>1.1629986901717787E-2</c:v>
                </c:pt>
                <c:pt idx="21">
                  <c:v>-5.0350585666542415E-2</c:v>
                </c:pt>
                <c:pt idx="22">
                  <c:v>-6.7712144212837E-2</c:v>
                </c:pt>
                <c:pt idx="23">
                  <c:v>4.2063897309796483E-2</c:v>
                </c:pt>
                <c:pt idx="24">
                  <c:v>4.9060153398536102E-2</c:v>
                </c:pt>
                <c:pt idx="25">
                  <c:v>-8.7398827035556403E-2</c:v>
                </c:pt>
                <c:pt idx="26">
                  <c:v>-4.7432205630032814E-3</c:v>
                </c:pt>
                <c:pt idx="27">
                  <c:v>-5.9788150447629791E-3</c:v>
                </c:pt>
                <c:pt idx="28">
                  <c:v>-9.5783866125958836E-2</c:v>
                </c:pt>
                <c:pt idx="29">
                  <c:v>-3.0071663301848789E-3</c:v>
                </c:pt>
                <c:pt idx="30">
                  <c:v>-7.1194045364462194E-2</c:v>
                </c:pt>
                <c:pt idx="31">
                  <c:v>3.259839727145248E-2</c:v>
                </c:pt>
                <c:pt idx="32">
                  <c:v>5.4346670469354028E-2</c:v>
                </c:pt>
                <c:pt idx="33">
                  <c:v>2.9516167032473284E-2</c:v>
                </c:pt>
                <c:pt idx="34">
                  <c:v>5.8339386529871612E-2</c:v>
                </c:pt>
                <c:pt idx="35">
                  <c:v>-0.12001427009166582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8-3D43-9147-C7F402902AE8}"/>
            </c:ext>
          </c:extLst>
        </c:ser>
        <c:ser>
          <c:idx val="1"/>
          <c:order val="1"/>
          <c:tx>
            <c:strRef>
              <c:f>'Hoja 2'!$C$4</c:f>
              <c:strCache>
                <c:ptCount val="1"/>
                <c:pt idx="0">
                  <c:v>Escenario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2'!$C$5:$C$40</c:f>
              <c:numCache>
                <c:formatCode>General</c:formatCode>
                <c:ptCount val="36"/>
                <c:pt idx="0">
                  <c:v>-2.7740155995723857E-2</c:v>
                </c:pt>
                <c:pt idx="1">
                  <c:v>-8.1775163815987498E-2</c:v>
                </c:pt>
                <c:pt idx="2">
                  <c:v>6.2722329623128723E-2</c:v>
                </c:pt>
                <c:pt idx="3">
                  <c:v>-4.4436509754523554E-2</c:v>
                </c:pt>
                <c:pt idx="4">
                  <c:v>2.4294987112474471E-2</c:v>
                </c:pt>
                <c:pt idx="5">
                  <c:v>-5.0980105403906788E-2</c:v>
                </c:pt>
                <c:pt idx="6">
                  <c:v>1.6317123732609404E-3</c:v>
                </c:pt>
                <c:pt idx="7">
                  <c:v>5.0817145987089668E-2</c:v>
                </c:pt>
                <c:pt idx="8">
                  <c:v>2.6002390409974398E-2</c:v>
                </c:pt>
                <c:pt idx="9">
                  <c:v>5.0676642274774244E-3</c:v>
                </c:pt>
                <c:pt idx="10">
                  <c:v>1.2378769975034232E-2</c:v>
                </c:pt>
                <c:pt idx="11">
                  <c:v>4.8557239235781837E-3</c:v>
                </c:pt>
                <c:pt idx="12">
                  <c:v>-5.1784616781108544E-2</c:v>
                </c:pt>
                <c:pt idx="13">
                  <c:v>-2.8711943960354817E-2</c:v>
                </c:pt>
                <c:pt idx="14">
                  <c:v>3.4184497406760807E-2</c:v>
                </c:pt>
                <c:pt idx="15">
                  <c:v>-0.11970713121863358</c:v>
                </c:pt>
                <c:pt idx="16">
                  <c:v>1.4107187316649981E-2</c:v>
                </c:pt>
                <c:pt idx="17">
                  <c:v>7.0062943836067218E-2</c:v>
                </c:pt>
                <c:pt idx="18">
                  <c:v>-2.2103320756008144E-2</c:v>
                </c:pt>
                <c:pt idx="19">
                  <c:v>3.1741902724387455E-2</c:v>
                </c:pt>
                <c:pt idx="20">
                  <c:v>4.2639589718454135E-2</c:v>
                </c:pt>
                <c:pt idx="21">
                  <c:v>9.4000617440290375E-3</c:v>
                </c:pt>
                <c:pt idx="22">
                  <c:v>-7.5145627227266448E-2</c:v>
                </c:pt>
                <c:pt idx="23">
                  <c:v>5.039974850710336E-2</c:v>
                </c:pt>
                <c:pt idx="24">
                  <c:v>-7.3676040058005113E-2</c:v>
                </c:pt>
                <c:pt idx="25">
                  <c:v>8.494395033028455E-3</c:v>
                </c:pt>
                <c:pt idx="26">
                  <c:v>-5.0748843762302515E-2</c:v>
                </c:pt>
                <c:pt idx="27">
                  <c:v>-9.17328721466373E-3</c:v>
                </c:pt>
                <c:pt idx="28">
                  <c:v>5.4673437367370216E-2</c:v>
                </c:pt>
                <c:pt idx="29">
                  <c:v>3.5233896441603961E-3</c:v>
                </c:pt>
                <c:pt idx="30">
                  <c:v>1.520978969254607E-2</c:v>
                </c:pt>
                <c:pt idx="31">
                  <c:v>3.7349866847086799E-2</c:v>
                </c:pt>
                <c:pt idx="32">
                  <c:v>-5.3988639231671152E-2</c:v>
                </c:pt>
                <c:pt idx="33">
                  <c:v>-7.0277037796704833E-3</c:v>
                </c:pt>
                <c:pt idx="34">
                  <c:v>-2.0026328776397279E-2</c:v>
                </c:pt>
                <c:pt idx="35">
                  <c:v>-7.4635417669540474E-2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8-3D43-9147-C7F402902AE8}"/>
            </c:ext>
          </c:extLst>
        </c:ser>
        <c:ser>
          <c:idx val="2"/>
          <c:order val="2"/>
          <c:tx>
            <c:strRef>
              <c:f>'Hoja 2'!$D$4</c:f>
              <c:strCache>
                <c:ptCount val="1"/>
                <c:pt idx="0">
                  <c:v>Escenario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2'!$D$5:$D$40</c:f>
              <c:numCache>
                <c:formatCode>General</c:formatCode>
                <c:ptCount val="36"/>
                <c:pt idx="0">
                  <c:v>-2.0822636781937947E-2</c:v>
                </c:pt>
                <c:pt idx="1">
                  <c:v>-3.0945675899743025E-2</c:v>
                </c:pt>
                <c:pt idx="2">
                  <c:v>6.3164546412518806E-4</c:v>
                </c:pt>
                <c:pt idx="3">
                  <c:v>-9.2681170013824317E-3</c:v>
                </c:pt>
                <c:pt idx="4">
                  <c:v>-4.9587668947165972E-2</c:v>
                </c:pt>
                <c:pt idx="5">
                  <c:v>1.6785162243097774E-2</c:v>
                </c:pt>
                <c:pt idx="6">
                  <c:v>1.4005746424473622E-2</c:v>
                </c:pt>
                <c:pt idx="7">
                  <c:v>-3.9374233115215471E-2</c:v>
                </c:pt>
                <c:pt idx="8">
                  <c:v>-7.9813941940768234E-3</c:v>
                </c:pt>
                <c:pt idx="9">
                  <c:v>6.3534622606135877E-2</c:v>
                </c:pt>
                <c:pt idx="10">
                  <c:v>2.2755686690489767E-2</c:v>
                </c:pt>
                <c:pt idx="11">
                  <c:v>-6.925895361519485E-3</c:v>
                </c:pt>
                <c:pt idx="12">
                  <c:v>-6.6553548048685449E-2</c:v>
                </c:pt>
                <c:pt idx="13">
                  <c:v>6.70485062635808E-3</c:v>
                </c:pt>
                <c:pt idx="14">
                  <c:v>2.5959405350434839E-2</c:v>
                </c:pt>
                <c:pt idx="15">
                  <c:v>-6.8605130175609985E-2</c:v>
                </c:pt>
                <c:pt idx="16">
                  <c:v>-9.8525696961957843E-2</c:v>
                </c:pt>
                <c:pt idx="17">
                  <c:v>-2.3830885322591037E-2</c:v>
                </c:pt>
                <c:pt idx="18">
                  <c:v>0.11089438391656233</c:v>
                </c:pt>
                <c:pt idx="19">
                  <c:v>-3.9518209035289832E-2</c:v>
                </c:pt>
                <c:pt idx="20">
                  <c:v>-6.4467715857450772E-2</c:v>
                </c:pt>
                <c:pt idx="21">
                  <c:v>2.1737875491229335E-2</c:v>
                </c:pt>
                <c:pt idx="22">
                  <c:v>-1.7809881605223326E-2</c:v>
                </c:pt>
                <c:pt idx="23">
                  <c:v>7.1129375177076473E-2</c:v>
                </c:pt>
                <c:pt idx="24">
                  <c:v>5.5668836760212663E-2</c:v>
                </c:pt>
                <c:pt idx="25">
                  <c:v>-8.656065084176625E-3</c:v>
                </c:pt>
                <c:pt idx="26">
                  <c:v>2.6820439825597522E-2</c:v>
                </c:pt>
                <c:pt idx="27">
                  <c:v>-3.4729428277391082E-2</c:v>
                </c:pt>
                <c:pt idx="28">
                  <c:v>-3.4980487022179943E-2</c:v>
                </c:pt>
                <c:pt idx="29">
                  <c:v>-9.1262338401414192E-3</c:v>
                </c:pt>
                <c:pt idx="30">
                  <c:v>-2.5841811854292514E-2</c:v>
                </c:pt>
                <c:pt idx="31">
                  <c:v>-1.0368694651753732E-2</c:v>
                </c:pt>
                <c:pt idx="32">
                  <c:v>-5.2747574935340019E-2</c:v>
                </c:pt>
                <c:pt idx="33">
                  <c:v>2.4188616095784959E-2</c:v>
                </c:pt>
                <c:pt idx="34">
                  <c:v>-3.1296322905439204E-2</c:v>
                </c:pt>
                <c:pt idx="35">
                  <c:v>-8.091573359056857E-2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28-3D43-9147-C7F402902AE8}"/>
            </c:ext>
          </c:extLst>
        </c:ser>
        <c:ser>
          <c:idx val="3"/>
          <c:order val="3"/>
          <c:tx>
            <c:strRef>
              <c:f>'Hoja 2'!$E$4</c:f>
              <c:strCache>
                <c:ptCount val="1"/>
                <c:pt idx="0">
                  <c:v>Escenario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2'!$E$5:$E$40</c:f>
              <c:numCache>
                <c:formatCode>General</c:formatCode>
                <c:ptCount val="36"/>
                <c:pt idx="0">
                  <c:v>2.7603434842166513E-2</c:v>
                </c:pt>
                <c:pt idx="1">
                  <c:v>-4.4984819080026708E-3</c:v>
                </c:pt>
                <c:pt idx="2">
                  <c:v>-7.0592177720629496E-4</c:v>
                </c:pt>
                <c:pt idx="3">
                  <c:v>-1.7655163767237168E-2</c:v>
                </c:pt>
                <c:pt idx="4">
                  <c:v>-6.8214956989629025E-2</c:v>
                </c:pt>
                <c:pt idx="5">
                  <c:v>6.0101305744070167E-2</c:v>
                </c:pt>
                <c:pt idx="6">
                  <c:v>2.9882890530949287E-2</c:v>
                </c:pt>
                <c:pt idx="7">
                  <c:v>-5.7781137393559487E-2</c:v>
                </c:pt>
                <c:pt idx="8">
                  <c:v>-2.7985812697156356E-2</c:v>
                </c:pt>
                <c:pt idx="9">
                  <c:v>-1.7378844513174962E-2</c:v>
                </c:pt>
                <c:pt idx="10">
                  <c:v>-1.3138989815647265E-2</c:v>
                </c:pt>
                <c:pt idx="11">
                  <c:v>-2.2212578161823721E-2</c:v>
                </c:pt>
                <c:pt idx="12">
                  <c:v>-9.2791836276912162E-2</c:v>
                </c:pt>
                <c:pt idx="13">
                  <c:v>5.6129687808731288E-2</c:v>
                </c:pt>
                <c:pt idx="14">
                  <c:v>5.4327264079120106E-2</c:v>
                </c:pt>
                <c:pt idx="15">
                  <c:v>1.1489101701695295E-2</c:v>
                </c:pt>
                <c:pt idx="16">
                  <c:v>-2.5298246534774235E-2</c:v>
                </c:pt>
                <c:pt idx="17">
                  <c:v>-2.3253481071781067E-2</c:v>
                </c:pt>
                <c:pt idx="18">
                  <c:v>-6.3832927525465127E-2</c:v>
                </c:pt>
                <c:pt idx="19">
                  <c:v>2.1012911753217414E-2</c:v>
                </c:pt>
                <c:pt idx="20">
                  <c:v>-9.5816716999413951E-2</c:v>
                </c:pt>
                <c:pt idx="21">
                  <c:v>9.5028543524945663E-2</c:v>
                </c:pt>
                <c:pt idx="22">
                  <c:v>9.088815403285827E-2</c:v>
                </c:pt>
                <c:pt idx="23">
                  <c:v>-4.6969719444221866E-3</c:v>
                </c:pt>
                <c:pt idx="24">
                  <c:v>-2.8326557361565811E-2</c:v>
                </c:pt>
                <c:pt idx="25">
                  <c:v>-6.1925101112081132E-2</c:v>
                </c:pt>
                <c:pt idx="26">
                  <c:v>-5.3414384025342321E-2</c:v>
                </c:pt>
                <c:pt idx="27">
                  <c:v>9.9947559768377034E-2</c:v>
                </c:pt>
                <c:pt idx="28">
                  <c:v>1.462622606823874E-2</c:v>
                </c:pt>
                <c:pt idx="29">
                  <c:v>-3.9893363777717067E-3</c:v>
                </c:pt>
                <c:pt idx="30">
                  <c:v>-1.7315738051593088E-2</c:v>
                </c:pt>
                <c:pt idx="31">
                  <c:v>-3.4221599882897434E-2</c:v>
                </c:pt>
                <c:pt idx="32">
                  <c:v>-5.5707348293546441E-2</c:v>
                </c:pt>
                <c:pt idx="33">
                  <c:v>-3.3376060935857023E-2</c:v>
                </c:pt>
                <c:pt idx="34">
                  <c:v>2.7102619826766008E-2</c:v>
                </c:pt>
                <c:pt idx="35">
                  <c:v>-1.2922213322180631E-2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28-3D43-9147-C7F402902AE8}"/>
            </c:ext>
          </c:extLst>
        </c:ser>
        <c:ser>
          <c:idx val="4"/>
          <c:order val="4"/>
          <c:tx>
            <c:strRef>
              <c:f>'Hoja 2'!$F$4</c:f>
              <c:strCache>
                <c:ptCount val="1"/>
                <c:pt idx="0">
                  <c:v>Escenario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'Hoja 2'!$A$5:$A$40</c:f>
              <c:numCache>
                <c:formatCode>mmm\-yy</c:formatCode>
                <c:ptCount val="3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  <c:pt idx="18">
                  <c:v>46296</c:v>
                </c:pt>
                <c:pt idx="19">
                  <c:v>46327</c:v>
                </c:pt>
                <c:pt idx="20">
                  <c:v>46357</c:v>
                </c:pt>
                <c:pt idx="21">
                  <c:v>46388</c:v>
                </c:pt>
                <c:pt idx="22">
                  <c:v>46419</c:v>
                </c:pt>
                <c:pt idx="23">
                  <c:v>46447</c:v>
                </c:pt>
                <c:pt idx="24">
                  <c:v>46478</c:v>
                </c:pt>
                <c:pt idx="25">
                  <c:v>46508</c:v>
                </c:pt>
                <c:pt idx="26">
                  <c:v>46539</c:v>
                </c:pt>
                <c:pt idx="27">
                  <c:v>46569</c:v>
                </c:pt>
                <c:pt idx="28">
                  <c:v>46600</c:v>
                </c:pt>
                <c:pt idx="29">
                  <c:v>46631</c:v>
                </c:pt>
                <c:pt idx="30">
                  <c:v>46661</c:v>
                </c:pt>
                <c:pt idx="31">
                  <c:v>46692</c:v>
                </c:pt>
                <c:pt idx="32">
                  <c:v>46722</c:v>
                </c:pt>
                <c:pt idx="33">
                  <c:v>46753</c:v>
                </c:pt>
                <c:pt idx="34">
                  <c:v>46784</c:v>
                </c:pt>
                <c:pt idx="35">
                  <c:v>46813</c:v>
                </c:pt>
              </c:numCache>
            </c:numRef>
          </c:cat>
          <c:val>
            <c:numRef>
              <c:f>'Hoja 2'!$F$5:$F$40</c:f>
              <c:numCache>
                <c:formatCode>General</c:formatCode>
                <c:ptCount val="36"/>
                <c:pt idx="0">
                  <c:v>2.4978393054903694E-2</c:v>
                </c:pt>
                <c:pt idx="1">
                  <c:v>6.7785045378532319E-2</c:v>
                </c:pt>
                <c:pt idx="2">
                  <c:v>4.2261825439932614E-2</c:v>
                </c:pt>
                <c:pt idx="3">
                  <c:v>4.6521692704184811E-2</c:v>
                </c:pt>
                <c:pt idx="4">
                  <c:v>-5.0764379751509187E-2</c:v>
                </c:pt>
                <c:pt idx="5">
                  <c:v>2.6820811239682489E-2</c:v>
                </c:pt>
                <c:pt idx="6">
                  <c:v>-1.1060530062922541E-3</c:v>
                </c:pt>
                <c:pt idx="7">
                  <c:v>-7.6165649872021136E-3</c:v>
                </c:pt>
                <c:pt idx="8">
                  <c:v>-1.4511207993166714E-2</c:v>
                </c:pt>
                <c:pt idx="9">
                  <c:v>-2.2896708634191597E-2</c:v>
                </c:pt>
                <c:pt idx="10">
                  <c:v>9.449615908868006E-2</c:v>
                </c:pt>
                <c:pt idx="11">
                  <c:v>2.964302054696074E-2</c:v>
                </c:pt>
                <c:pt idx="12">
                  <c:v>2.6126245479581658E-2</c:v>
                </c:pt>
                <c:pt idx="13">
                  <c:v>5.8693777632264355E-2</c:v>
                </c:pt>
                <c:pt idx="14">
                  <c:v>1.3843504302134411E-2</c:v>
                </c:pt>
                <c:pt idx="15">
                  <c:v>5.5949510840969177E-2</c:v>
                </c:pt>
                <c:pt idx="16">
                  <c:v>1.8860584695775166E-2</c:v>
                </c:pt>
                <c:pt idx="17">
                  <c:v>3.3679085228135106E-2</c:v>
                </c:pt>
                <c:pt idx="18">
                  <c:v>6.6489420767952542E-2</c:v>
                </c:pt>
                <c:pt idx="19">
                  <c:v>5.8648531059900533E-2</c:v>
                </c:pt>
                <c:pt idx="20">
                  <c:v>0.11821386420869184</c:v>
                </c:pt>
                <c:pt idx="21">
                  <c:v>-1.5190467826837972E-2</c:v>
                </c:pt>
                <c:pt idx="22">
                  <c:v>8.7892626648293296E-3</c:v>
                </c:pt>
                <c:pt idx="23">
                  <c:v>1.6755219904183147E-2</c:v>
                </c:pt>
                <c:pt idx="24">
                  <c:v>4.4765870441915136E-2</c:v>
                </c:pt>
                <c:pt idx="25">
                  <c:v>-8.8045680926602504E-2</c:v>
                </c:pt>
                <c:pt idx="26">
                  <c:v>-1.9206141290548245E-2</c:v>
                </c:pt>
                <c:pt idx="27">
                  <c:v>4.1689994938090648E-2</c:v>
                </c:pt>
                <c:pt idx="28">
                  <c:v>-2.5114441919696352E-2</c:v>
                </c:pt>
                <c:pt idx="29">
                  <c:v>1.7708445445241246E-2</c:v>
                </c:pt>
                <c:pt idx="30">
                  <c:v>1.5235262787083134E-2</c:v>
                </c:pt>
                <c:pt idx="31">
                  <c:v>-7.1672256132805257E-2</c:v>
                </c:pt>
                <c:pt idx="32">
                  <c:v>-5.0758059036268392E-2</c:v>
                </c:pt>
                <c:pt idx="33">
                  <c:v>-1.1537578888737035E-2</c:v>
                </c:pt>
                <c:pt idx="34">
                  <c:v>2.8583725871357536E-2</c:v>
                </c:pt>
                <c:pt idx="35">
                  <c:v>7.9947189486604661E-2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28-3D43-9147-C7F40290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6479"/>
        <c:axId val="2528191"/>
      </c:lineChart>
      <c:dateAx>
        <c:axId val="2526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28191"/>
        <c:crosses val="autoZero"/>
        <c:auto val="1"/>
        <c:lblOffset val="100"/>
        <c:baseTimeUnit val="months"/>
      </c:dateAx>
      <c:valAx>
        <c:axId val="25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2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5</xdr:row>
      <xdr:rowOff>0</xdr:rowOff>
    </xdr:from>
    <xdr:to>
      <xdr:col>16</xdr:col>
      <xdr:colOff>279400</xdr:colOff>
      <xdr:row>20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EFB828B-7C44-3101-5072-976722965AE2}"/>
            </a:ext>
          </a:extLst>
        </xdr:cNvPr>
        <xdr:cNvSpPr txBox="1"/>
      </xdr:nvSpPr>
      <xdr:spPr>
        <a:xfrm>
          <a:off x="11341100" y="1219200"/>
          <a:ext cx="5651500" cy="302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Resultados mensuales.El retorno esperado mensual del IPSA es 0,50% en base simple y 0,38% en base ln: en promedio el índice subió cerca de 0,5% por mes. El riesgo mensual, medido con la desviación estándar, es 4,78% en base simple (varianza 0,00228) y 4,76% en base ln (varianza 0,00226). Un mes típico se aleja unos 4,8 puntos del promedio, por lo que la mayoría de los meses queda entre −4,3% y +5,3%. Ambas bases casi coinciden porque los retornos mensuales son pequeños. Paseo aleatorio: se proyectan 36 meses desde mar-2025 (7.648,59 puntos), sorteando cada retorno con una Normal de media 0,50% y desviación estándar 4,78%. Es una trayectoria posible entre muchas, no un pronóstico.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12</xdr:row>
      <xdr:rowOff>114300</xdr:rowOff>
    </xdr:from>
    <xdr:to>
      <xdr:col>17</xdr:col>
      <xdr:colOff>279400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383970-40D5-FE9E-9444-B45D87B87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698500</xdr:colOff>
      <xdr:row>29</xdr:row>
      <xdr:rowOff>101600</xdr:rowOff>
    </xdr:from>
    <xdr:to>
      <xdr:col>17</xdr:col>
      <xdr:colOff>190500</xdr:colOff>
      <xdr:row>42</xdr:row>
      <xdr:rowOff>25400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450A7AA-912A-9823-BC76-254D4001D7D4}"/>
            </a:ext>
          </a:extLst>
        </xdr:cNvPr>
        <xdr:cNvSpPr txBox="1"/>
      </xdr:nvSpPr>
      <xdr:spPr>
        <a:xfrm>
          <a:off x="6743700" y="5829300"/>
          <a:ext cx="7747000" cy="240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Se simularon 5 escenarios de retornos mensuales para 36 meses (abr-2025 a mar-2028). Cada retorno se sortea de forma independiente desde una Normal con media 0,50% y desviación estándar 4,78%, los parámetros históricos mensuales del IPSA. Como todos parten de los mismos supuestos pero usan números aleatorios distintos, las trayectorias se separan, con meses de alzas fuertes y de caídas, sin un patrón que se repita. Esto refleja la hipótesis de paseo aleatorio: el retorno de un mes no depende del anterior y el pasado no permite predecir el futuro. El gráfico muestra el abanico de resultados posibles, no una predicción.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0</xdr:row>
      <xdr:rowOff>177800</xdr:rowOff>
    </xdr:from>
    <xdr:to>
      <xdr:col>11</xdr:col>
      <xdr:colOff>558800</xdr:colOff>
      <xdr:row>18</xdr:row>
      <xdr:rowOff>177800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779DF2D-2DCB-A1B4-8AEE-99367BABB0D1}"/>
            </a:ext>
          </a:extLst>
        </xdr:cNvPr>
        <xdr:cNvSpPr txBox="1"/>
      </xdr:nvSpPr>
      <xdr:spPr>
        <a:xfrm>
          <a:off x="5575300" y="177800"/>
          <a:ext cx="5029200" cy="367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/>
            <a:t>Retornos anuales 2010-2024 (15 años; 2010 con 11 meses y 2025 excluido por estar incompleto). Retorno esperado anual: 4,91% en base simple y 3,77% en base ln. Riesgo anual: desviación estándar de 15,66% (simple) y 14,68% (ln), con varianzas de 0,0245 y 0,0215. El riesgo es de 3 a 4 veces el retorno esperado: hubo años de +34% (2017) y de −15% (2011). Error estándar: 4,04% (simple) y 3,79% (ln), que muestra qué tan impreciso es el promedio estimado con solo 15 años. Intervalo de confianza al 95%: de −3,02% a 12,83% (simple) y de −3,65% a 11,20% (ln). Como incluye el 0, no se puede afirmar con 95% de confianza que el retorno esperado anual del IPSA sea positivo. Además, la desviación estándar mensual × √12 ≈ 16,6% es cercana a la anual, coherente con retornos independientes.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workbookViewId="0">
      <selection activeCell="F21" sqref="F21"/>
    </sheetView>
  </sheetViews>
  <sheetFormatPr baseColWidth="10" defaultRowHeight="15" x14ac:dyDescent="0.2"/>
  <cols>
    <col min="1" max="1" width="15" customWidth="1"/>
    <col min="2" max="2" width="20" customWidth="1"/>
    <col min="7" max="7" width="24.33203125" customWidth="1"/>
    <col min="8" max="8" width="20.6640625" bestFit="1" customWidth="1"/>
    <col min="9" max="9" width="20.1640625" customWidth="1"/>
  </cols>
  <sheetData>
    <row r="1" spans="1:9" ht="16" x14ac:dyDescent="0.2">
      <c r="A1" s="16" t="s">
        <v>0</v>
      </c>
      <c r="B1" s="16" t="s">
        <v>1</v>
      </c>
    </row>
    <row r="2" spans="1:9" x14ac:dyDescent="0.2">
      <c r="H2" s="15" t="s">
        <v>22</v>
      </c>
      <c r="I2" s="15" t="s">
        <v>23</v>
      </c>
    </row>
    <row r="3" spans="1:9" ht="3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G3" s="7" t="s">
        <v>14</v>
      </c>
      <c r="H3" s="12">
        <f>AVERAGE(C5:C186)</f>
        <v>4.9676544824677786E-3</v>
      </c>
      <c r="I3" s="12">
        <f>AVERAGE(E5:E186)</f>
        <v>3.8305776435588685E-3</v>
      </c>
    </row>
    <row r="4" spans="1:9" x14ac:dyDescent="0.2">
      <c r="A4" s="1">
        <v>40179</v>
      </c>
      <c r="B4" s="2">
        <v>3808.96</v>
      </c>
      <c r="G4" t="s">
        <v>15</v>
      </c>
      <c r="H4">
        <f>_xlfn.VAR.S(C5:C186)</f>
        <v>2.2842426611301759E-3</v>
      </c>
      <c r="I4">
        <f>_xlfn.VAR.S(E5:E186)</f>
        <v>2.2638511630314402E-3</v>
      </c>
    </row>
    <row r="5" spans="1:9" ht="16" x14ac:dyDescent="0.2">
      <c r="A5" s="1">
        <v>40210</v>
      </c>
      <c r="B5" s="2">
        <v>3827.44</v>
      </c>
      <c r="C5">
        <f>(B5-B4)/B4</f>
        <v>4.851718054272037E-3</v>
      </c>
      <c r="D5">
        <f>C5+1</f>
        <v>1.004851718054272</v>
      </c>
      <c r="E5">
        <f>LN(B5/B4)</f>
        <v>4.8399864007142085E-3</v>
      </c>
      <c r="G5" s="7" t="s">
        <v>11</v>
      </c>
      <c r="H5" s="11">
        <f>SQRT(H4)</f>
        <v>4.7793751277025495E-2</v>
      </c>
      <c r="I5" s="11">
        <f>SQRT(I4)</f>
        <v>4.7579944966670992E-2</v>
      </c>
    </row>
    <row r="6" spans="1:9" x14ac:dyDescent="0.2">
      <c r="A6" s="1">
        <v>40238</v>
      </c>
      <c r="B6" s="2">
        <v>3763.12</v>
      </c>
      <c r="C6">
        <f t="shared" ref="C6:C69" si="0">(B6-B5)/B5</f>
        <v>-1.6804966243755659E-2</v>
      </c>
      <c r="D6">
        <f t="shared" ref="D6:D69" si="1">C6+1</f>
        <v>0.98319503375624429</v>
      </c>
      <c r="E6">
        <f t="shared" ref="E6:E69" si="2">LN(B6/B5)</f>
        <v>-1.6947771845342761E-2</v>
      </c>
    </row>
    <row r="7" spans="1:9" x14ac:dyDescent="0.2">
      <c r="A7" s="1">
        <v>40269</v>
      </c>
      <c r="B7" s="2">
        <v>3865.45</v>
      </c>
      <c r="C7">
        <f t="shared" si="0"/>
        <v>2.7192861242798509E-2</v>
      </c>
      <c r="D7">
        <f t="shared" si="1"/>
        <v>1.0271928612427985</v>
      </c>
      <c r="E7">
        <f t="shared" si="2"/>
        <v>2.682970420472031E-2</v>
      </c>
    </row>
    <row r="8" spans="1:9" x14ac:dyDescent="0.2">
      <c r="A8" s="1">
        <v>40299</v>
      </c>
      <c r="B8" s="2">
        <v>3886.86</v>
      </c>
      <c r="C8">
        <f t="shared" si="0"/>
        <v>5.5388117812933324E-3</v>
      </c>
      <c r="D8">
        <f t="shared" si="1"/>
        <v>1.0055388117812933</v>
      </c>
      <c r="E8">
        <f t="shared" si="2"/>
        <v>5.5235289697593889E-3</v>
      </c>
    </row>
    <row r="9" spans="1:9" ht="16" x14ac:dyDescent="0.2">
      <c r="A9" s="1">
        <v>40330</v>
      </c>
      <c r="B9" s="2">
        <v>4065.29</v>
      </c>
      <c r="C9">
        <f t="shared" si="0"/>
        <v>4.5905949789804577E-2</v>
      </c>
      <c r="D9">
        <f t="shared" si="1"/>
        <v>1.0459059497898047</v>
      </c>
      <c r="E9">
        <f t="shared" si="2"/>
        <v>4.4883447441324303E-2</v>
      </c>
      <c r="G9" s="3"/>
      <c r="H9" s="3"/>
      <c r="I9" s="3"/>
    </row>
    <row r="10" spans="1:9" x14ac:dyDescent="0.2">
      <c r="A10" s="1">
        <v>40360</v>
      </c>
      <c r="B10" s="2">
        <v>4364.1499999999996</v>
      </c>
      <c r="C10">
        <f t="shared" si="0"/>
        <v>7.3515050586796929E-2</v>
      </c>
      <c r="D10">
        <f t="shared" si="1"/>
        <v>1.073515050586797</v>
      </c>
      <c r="E10">
        <f t="shared" si="2"/>
        <v>7.0938358347218025E-2</v>
      </c>
      <c r="G10" s="13">
        <v>45748</v>
      </c>
      <c r="H10">
        <f ca="1">B186*EXP(I10)</f>
        <v>7399.620280675399</v>
      </c>
      <c r="I10">
        <f ca="1">_xlfn.NORM.INV(RAND(),$H$3,$H$5)</f>
        <v>-3.3092631653790221E-2</v>
      </c>
    </row>
    <row r="11" spans="1:9" x14ac:dyDescent="0.2">
      <c r="A11" s="1">
        <v>40391</v>
      </c>
      <c r="B11" s="2">
        <v>4525.01</v>
      </c>
      <c r="C11">
        <f t="shared" si="0"/>
        <v>3.6859411340123646E-2</v>
      </c>
      <c r="D11">
        <f t="shared" si="1"/>
        <v>1.0368594113401237</v>
      </c>
      <c r="E11">
        <f t="shared" si="2"/>
        <v>3.6196347578427678E-2</v>
      </c>
      <c r="G11" s="13">
        <v>45778</v>
      </c>
      <c r="H11">
        <f ca="1">H10*EXP(I11)</f>
        <v>7212.0532676298553</v>
      </c>
      <c r="I11">
        <f t="shared" ref="I11:I44" ca="1" si="3">_xlfn.NORM.INV(RAND(),$H$3,$H$5)</f>
        <v>-2.5674994185536221E-2</v>
      </c>
    </row>
    <row r="12" spans="1:9" x14ac:dyDescent="0.2">
      <c r="A12" s="1">
        <v>40422</v>
      </c>
      <c r="B12" s="2">
        <v>4795.38</v>
      </c>
      <c r="C12">
        <f t="shared" si="0"/>
        <v>5.9750144198576327E-2</v>
      </c>
      <c r="D12">
        <f t="shared" si="1"/>
        <v>1.0597501441985764</v>
      </c>
      <c r="E12">
        <f t="shared" si="2"/>
        <v>5.8033167319084644E-2</v>
      </c>
      <c r="G12" s="13">
        <v>45809</v>
      </c>
      <c r="H12">
        <f t="shared" ref="H12:H44" ca="1" si="4">H11*EXP(I12)</f>
        <v>7044.2854285870326</v>
      </c>
      <c r="I12">
        <f t="shared" ca="1" si="3"/>
        <v>-2.3536980662554233E-2</v>
      </c>
    </row>
    <row r="13" spans="1:9" x14ac:dyDescent="0.2">
      <c r="A13" s="1">
        <v>40452</v>
      </c>
      <c r="B13" s="2">
        <v>4912.53</v>
      </c>
      <c r="C13">
        <f t="shared" si="0"/>
        <v>2.4429763647510653E-2</v>
      </c>
      <c r="D13">
        <f t="shared" si="1"/>
        <v>1.0244297636475106</v>
      </c>
      <c r="E13">
        <f t="shared" si="2"/>
        <v>2.4136129633678127E-2</v>
      </c>
      <c r="G13" s="13">
        <v>45839</v>
      </c>
      <c r="H13">
        <f t="shared" ca="1" si="4"/>
        <v>6986.8443446050151</v>
      </c>
      <c r="I13">
        <f t="shared" ca="1" si="3"/>
        <v>-8.1877091592161347E-3</v>
      </c>
    </row>
    <row r="14" spans="1:9" x14ac:dyDescent="0.2">
      <c r="A14" s="1">
        <v>40483</v>
      </c>
      <c r="B14" s="2">
        <v>4956.96</v>
      </c>
      <c r="C14">
        <f t="shared" si="0"/>
        <v>9.0442195772850835E-3</v>
      </c>
      <c r="D14">
        <f t="shared" si="1"/>
        <v>1.0090442195772851</v>
      </c>
      <c r="E14">
        <f t="shared" si="2"/>
        <v>9.0035655621047671E-3</v>
      </c>
      <c r="G14" s="13">
        <v>45870</v>
      </c>
      <c r="H14">
        <f t="shared" ca="1" si="4"/>
        <v>7018.8716877553179</v>
      </c>
      <c r="I14">
        <f t="shared" ca="1" si="3"/>
        <v>4.5734754155732533E-3</v>
      </c>
    </row>
    <row r="15" spans="1:9" x14ac:dyDescent="0.2">
      <c r="A15" s="1">
        <v>40513</v>
      </c>
      <c r="B15" s="2">
        <v>4927.53</v>
      </c>
      <c r="C15">
        <f t="shared" si="0"/>
        <v>-5.9371066137310548E-3</v>
      </c>
      <c r="D15">
        <f t="shared" si="1"/>
        <v>0.99406289338626896</v>
      </c>
      <c r="E15">
        <f t="shared" si="2"/>
        <v>-5.9548013028009354E-3</v>
      </c>
      <c r="G15" s="13">
        <v>45901</v>
      </c>
      <c r="H15">
        <f t="shared" ca="1" si="4"/>
        <v>7686.615072994432</v>
      </c>
      <c r="I15">
        <f t="shared" ca="1" si="3"/>
        <v>9.0878037171111481E-2</v>
      </c>
    </row>
    <row r="16" spans="1:9" x14ac:dyDescent="0.2">
      <c r="A16" s="1">
        <v>40544</v>
      </c>
      <c r="B16" s="2">
        <v>4673.07</v>
      </c>
      <c r="C16">
        <f t="shared" si="0"/>
        <v>-5.1640477074721018E-2</v>
      </c>
      <c r="D16">
        <f t="shared" si="1"/>
        <v>0.94835952292527903</v>
      </c>
      <c r="E16">
        <f t="shared" si="2"/>
        <v>-5.3021605029723334E-2</v>
      </c>
      <c r="G16" s="13">
        <v>45931</v>
      </c>
      <c r="H16">
        <f t="shared" ca="1" si="4"/>
        <v>7498.468361172756</v>
      </c>
      <c r="I16">
        <f t="shared" ca="1" si="3"/>
        <v>-2.478173287415401E-2</v>
      </c>
    </row>
    <row r="17" spans="1:9" x14ac:dyDescent="0.2">
      <c r="A17" s="1">
        <v>40575</v>
      </c>
      <c r="B17" s="2">
        <v>4444.57</v>
      </c>
      <c r="C17">
        <f t="shared" si="0"/>
        <v>-4.8897191781847912E-2</v>
      </c>
      <c r="D17">
        <f t="shared" si="1"/>
        <v>0.95110280821815207</v>
      </c>
      <c r="E17">
        <f t="shared" si="2"/>
        <v>-5.0133116897849057E-2</v>
      </c>
      <c r="G17" s="13">
        <v>45962</v>
      </c>
      <c r="H17">
        <f t="shared" ca="1" si="4"/>
        <v>7658.8563656148026</v>
      </c>
      <c r="I17">
        <f t="shared" ca="1" si="3"/>
        <v>2.1163891901596083E-2</v>
      </c>
    </row>
    <row r="18" spans="1:9" x14ac:dyDescent="0.2">
      <c r="A18" s="1">
        <v>40603</v>
      </c>
      <c r="B18" s="2">
        <v>4624.47</v>
      </c>
      <c r="C18">
        <f t="shared" si="0"/>
        <v>4.0476356542927791E-2</v>
      </c>
      <c r="D18">
        <f t="shared" si="1"/>
        <v>1.0404763565429278</v>
      </c>
      <c r="E18">
        <f t="shared" si="2"/>
        <v>3.9678643424638657E-2</v>
      </c>
      <c r="G18" s="13">
        <v>45992</v>
      </c>
      <c r="H18">
        <f t="shared" ca="1" si="4"/>
        <v>7927.1539321441032</v>
      </c>
      <c r="I18">
        <f t="shared" ca="1" si="3"/>
        <v>3.4431399302131988E-2</v>
      </c>
    </row>
    <row r="19" spans="1:9" x14ac:dyDescent="0.2">
      <c r="A19" s="1">
        <v>40634</v>
      </c>
      <c r="B19" s="2">
        <v>4822.5</v>
      </c>
      <c r="C19">
        <f t="shared" si="0"/>
        <v>4.2822204490460473E-2</v>
      </c>
      <c r="D19">
        <f t="shared" si="1"/>
        <v>1.0428222044904605</v>
      </c>
      <c r="E19">
        <f t="shared" si="2"/>
        <v>4.1930695994415339E-2</v>
      </c>
      <c r="G19" s="13">
        <v>46023</v>
      </c>
      <c r="H19">
        <f t="shared" ca="1" si="4"/>
        <v>7859.0457382302066</v>
      </c>
      <c r="I19">
        <f t="shared" ca="1" si="3"/>
        <v>-8.6288806594543542E-3</v>
      </c>
    </row>
    <row r="20" spans="1:9" x14ac:dyDescent="0.2">
      <c r="A20" s="1">
        <v>40664</v>
      </c>
      <c r="B20" s="2">
        <v>4847.87</v>
      </c>
      <c r="C20">
        <f t="shared" si="0"/>
        <v>5.2607568688439379E-3</v>
      </c>
      <c r="D20">
        <f t="shared" si="1"/>
        <v>1.0052607568688439</v>
      </c>
      <c r="E20">
        <f t="shared" si="2"/>
        <v>5.2469674282145801E-3</v>
      </c>
      <c r="G20" s="13">
        <v>46054</v>
      </c>
      <c r="H20">
        <f t="shared" ca="1" si="4"/>
        <v>6978.4703044391454</v>
      </c>
      <c r="I20">
        <f t="shared" ca="1" si="3"/>
        <v>-0.11883545305609883</v>
      </c>
    </row>
    <row r="21" spans="1:9" x14ac:dyDescent="0.2">
      <c r="A21" s="1">
        <v>40695</v>
      </c>
      <c r="B21" s="2">
        <v>4795.28</v>
      </c>
      <c r="C21">
        <f t="shared" si="0"/>
        <v>-1.0848063170010778E-2</v>
      </c>
      <c r="D21">
        <f t="shared" si="1"/>
        <v>0.98915193682998925</v>
      </c>
      <c r="E21">
        <f t="shared" si="2"/>
        <v>-1.0907332434848909E-2</v>
      </c>
      <c r="G21" s="13">
        <v>46082</v>
      </c>
      <c r="H21">
        <f t="shared" ca="1" si="4"/>
        <v>7286.221854727698</v>
      </c>
      <c r="I21">
        <f t="shared" ca="1" si="3"/>
        <v>4.3155408912899249E-2</v>
      </c>
    </row>
    <row r="22" spans="1:9" x14ac:dyDescent="0.2">
      <c r="A22" s="1">
        <v>40725</v>
      </c>
      <c r="B22" s="2">
        <v>4425.9799999999996</v>
      </c>
      <c r="C22">
        <f t="shared" si="0"/>
        <v>-7.7013229675847963E-2</v>
      </c>
      <c r="D22">
        <f t="shared" si="1"/>
        <v>0.92298677032415199</v>
      </c>
      <c r="E22">
        <f t="shared" si="2"/>
        <v>-8.0140377925288858E-2</v>
      </c>
      <c r="G22" s="13">
        <v>46113</v>
      </c>
      <c r="H22">
        <f t="shared" ca="1" si="4"/>
        <v>7257.9471440934349</v>
      </c>
      <c r="I22">
        <f t="shared" ca="1" si="3"/>
        <v>-3.8881212473204007E-3</v>
      </c>
    </row>
    <row r="23" spans="1:9" x14ac:dyDescent="0.2">
      <c r="A23" s="1">
        <v>40756</v>
      </c>
      <c r="B23" s="2">
        <v>4288.3500000000004</v>
      </c>
      <c r="C23">
        <f t="shared" si="0"/>
        <v>-3.1095938074731294E-2</v>
      </c>
      <c r="D23">
        <f t="shared" si="1"/>
        <v>0.96890406192526868</v>
      </c>
      <c r="E23">
        <f t="shared" si="2"/>
        <v>-3.1589679293981494E-2</v>
      </c>
      <c r="G23" s="13">
        <v>46143</v>
      </c>
      <c r="H23">
        <f t="shared" ca="1" si="4"/>
        <v>7873.4539794554257</v>
      </c>
      <c r="I23">
        <f t="shared" ca="1" si="3"/>
        <v>8.1399819038957377E-2</v>
      </c>
    </row>
    <row r="24" spans="1:9" x14ac:dyDescent="0.2">
      <c r="A24" s="1">
        <v>40787</v>
      </c>
      <c r="B24" s="2">
        <v>3888.58</v>
      </c>
      <c r="C24">
        <f t="shared" si="0"/>
        <v>-9.3222334930684395E-2</v>
      </c>
      <c r="D24">
        <f t="shared" si="1"/>
        <v>0.90677766506931556</v>
      </c>
      <c r="E24">
        <f t="shared" si="2"/>
        <v>-9.7857991144692902E-2</v>
      </c>
      <c r="G24" s="13">
        <v>46174</v>
      </c>
      <c r="H24">
        <f t="shared" ca="1" si="4"/>
        <v>7966.0944023093743</v>
      </c>
      <c r="I24">
        <f t="shared" ca="1" si="3"/>
        <v>1.1697489973948028E-2</v>
      </c>
    </row>
    <row r="25" spans="1:9" x14ac:dyDescent="0.2">
      <c r="A25" s="1">
        <v>40817</v>
      </c>
      <c r="B25" s="2">
        <v>4327.25</v>
      </c>
      <c r="C25">
        <f t="shared" si="0"/>
        <v>0.11280981746550156</v>
      </c>
      <c r="D25">
        <f t="shared" si="1"/>
        <v>1.1128098174655014</v>
      </c>
      <c r="E25">
        <f t="shared" si="2"/>
        <v>0.10688818389722152</v>
      </c>
      <c r="G25" s="13">
        <v>46204</v>
      </c>
      <c r="H25">
        <f t="shared" ca="1" si="4"/>
        <v>8001.2067806455361</v>
      </c>
      <c r="I25">
        <f t="shared" ca="1" si="3"/>
        <v>4.3980425409904447E-3</v>
      </c>
    </row>
    <row r="26" spans="1:9" x14ac:dyDescent="0.2">
      <c r="A26" s="1">
        <v>40848</v>
      </c>
      <c r="B26" s="2">
        <v>4161.29</v>
      </c>
      <c r="C26">
        <f t="shared" si="0"/>
        <v>-3.8352302270495124E-2</v>
      </c>
      <c r="D26">
        <f t="shared" si="1"/>
        <v>0.96164769772950487</v>
      </c>
      <c r="E26">
        <f t="shared" si="2"/>
        <v>-3.9107113967228102E-2</v>
      </c>
      <c r="G26" s="13">
        <v>46235</v>
      </c>
      <c r="H26">
        <f t="shared" ca="1" si="4"/>
        <v>8464.8777470887762</v>
      </c>
      <c r="I26">
        <f t="shared" ca="1" si="3"/>
        <v>5.6333195433465044E-2</v>
      </c>
    </row>
    <row r="27" spans="1:9" x14ac:dyDescent="0.2">
      <c r="A27" s="1">
        <v>40878</v>
      </c>
      <c r="B27" s="2">
        <v>4177.53</v>
      </c>
      <c r="C27">
        <f t="shared" si="0"/>
        <v>3.9026359614445956E-3</v>
      </c>
      <c r="D27">
        <f t="shared" si="1"/>
        <v>1.0039026359614447</v>
      </c>
      <c r="E27">
        <f t="shared" si="2"/>
        <v>3.8950404330289124E-3</v>
      </c>
      <c r="G27" s="13">
        <v>46266</v>
      </c>
      <c r="H27">
        <f t="shared" ca="1" si="4"/>
        <v>8414.7773076493595</v>
      </c>
      <c r="I27">
        <f t="shared" ca="1" si="3"/>
        <v>-5.9362097624923111E-3</v>
      </c>
    </row>
    <row r="28" spans="1:9" x14ac:dyDescent="0.2">
      <c r="A28" s="1">
        <v>40909</v>
      </c>
      <c r="B28" s="2">
        <v>4260.76</v>
      </c>
      <c r="C28">
        <f t="shared" si="0"/>
        <v>1.992325608673079E-2</v>
      </c>
      <c r="D28">
        <f t="shared" si="1"/>
        <v>1.0199232560867308</v>
      </c>
      <c r="E28">
        <f t="shared" si="2"/>
        <v>1.9727385334918305E-2</v>
      </c>
      <c r="G28" s="13">
        <v>46296</v>
      </c>
      <c r="H28">
        <f t="shared" ca="1" si="4"/>
        <v>7957.9693325481803</v>
      </c>
      <c r="I28">
        <f t="shared" ca="1" si="3"/>
        <v>-5.5815505221046391E-2</v>
      </c>
    </row>
    <row r="29" spans="1:9" x14ac:dyDescent="0.2">
      <c r="A29" s="1">
        <v>40940</v>
      </c>
      <c r="B29" s="2">
        <v>4535.6000000000004</v>
      </c>
      <c r="C29">
        <f t="shared" si="0"/>
        <v>6.4504924004168296E-2</v>
      </c>
      <c r="D29">
        <f t="shared" si="1"/>
        <v>1.0645049240041682</v>
      </c>
      <c r="E29">
        <f t="shared" si="2"/>
        <v>6.2509830990457774E-2</v>
      </c>
      <c r="G29" s="13">
        <v>46327</v>
      </c>
      <c r="H29">
        <f t="shared" ca="1" si="4"/>
        <v>7986.5819560082055</v>
      </c>
      <c r="I29">
        <f t="shared" ca="1" si="3"/>
        <v>3.5890196789633753E-3</v>
      </c>
    </row>
    <row r="30" spans="1:9" x14ac:dyDescent="0.2">
      <c r="A30" s="1">
        <v>40969</v>
      </c>
      <c r="B30" s="2">
        <v>4671.28</v>
      </c>
      <c r="C30">
        <f t="shared" si="0"/>
        <v>2.9914454537437025E-2</v>
      </c>
      <c r="D30">
        <f t="shared" si="1"/>
        <v>1.029914454537437</v>
      </c>
      <c r="E30">
        <f t="shared" si="2"/>
        <v>2.9475744945234136E-2</v>
      </c>
      <c r="G30" s="13">
        <v>46357</v>
      </c>
      <c r="H30">
        <f t="shared" ca="1" si="4"/>
        <v>7857.06107115947</v>
      </c>
      <c r="I30">
        <f t="shared" ca="1" si="3"/>
        <v>-1.6350251015241502E-2</v>
      </c>
    </row>
    <row r="31" spans="1:9" x14ac:dyDescent="0.2">
      <c r="A31" s="1">
        <v>41000</v>
      </c>
      <c r="B31" s="2">
        <v>4585.7700000000004</v>
      </c>
      <c r="C31">
        <f t="shared" si="0"/>
        <v>-1.8305475158842826E-2</v>
      </c>
      <c r="D31">
        <f t="shared" si="1"/>
        <v>0.98169452484115716</v>
      </c>
      <c r="E31">
        <f t="shared" si="2"/>
        <v>-1.8475093521219645E-2</v>
      </c>
      <c r="G31" s="13">
        <v>46388</v>
      </c>
      <c r="H31">
        <f t="shared" ca="1" si="4"/>
        <v>7637.8650087533524</v>
      </c>
      <c r="I31">
        <f t="shared" ca="1" si="3"/>
        <v>-2.8294511988628191E-2</v>
      </c>
    </row>
    <row r="32" spans="1:9" x14ac:dyDescent="0.2">
      <c r="A32" s="1">
        <v>41030</v>
      </c>
      <c r="B32" s="2">
        <v>4318.16</v>
      </c>
      <c r="C32">
        <f t="shared" si="0"/>
        <v>-5.8356611866709526E-2</v>
      </c>
      <c r="D32">
        <f t="shared" si="1"/>
        <v>0.94164338813329052</v>
      </c>
      <c r="E32">
        <f t="shared" si="2"/>
        <v>-6.0128644941680819E-2</v>
      </c>
      <c r="G32" s="13">
        <v>46419</v>
      </c>
      <c r="H32">
        <f t="shared" ca="1" si="4"/>
        <v>8243.0629224563017</v>
      </c>
      <c r="I32">
        <f t="shared" ca="1" si="3"/>
        <v>7.6253873734019581E-2</v>
      </c>
    </row>
    <row r="33" spans="1:9" x14ac:dyDescent="0.2">
      <c r="A33" s="1">
        <v>41061</v>
      </c>
      <c r="B33" s="2">
        <v>4400.1000000000004</v>
      </c>
      <c r="C33">
        <f t="shared" si="0"/>
        <v>1.8975674824462389E-2</v>
      </c>
      <c r="D33">
        <f t="shared" si="1"/>
        <v>1.0189756748244625</v>
      </c>
      <c r="E33">
        <f t="shared" si="2"/>
        <v>1.8797882340800976E-2</v>
      </c>
      <c r="G33" s="13">
        <v>46447</v>
      </c>
      <c r="H33">
        <f t="shared" ca="1" si="4"/>
        <v>8213.7556954269348</v>
      </c>
      <c r="I33">
        <f t="shared" ca="1" si="3"/>
        <v>-3.5617161119709867E-3</v>
      </c>
    </row>
    <row r="34" spans="1:9" x14ac:dyDescent="0.2">
      <c r="A34" s="1">
        <v>41091</v>
      </c>
      <c r="B34" s="2">
        <v>4227.5600000000004</v>
      </c>
      <c r="C34">
        <f t="shared" si="0"/>
        <v>-3.9212745164882608E-2</v>
      </c>
      <c r="D34">
        <f t="shared" si="1"/>
        <v>0.9607872548351174</v>
      </c>
      <c r="E34">
        <f t="shared" si="2"/>
        <v>-4.0002273463466374E-2</v>
      </c>
      <c r="G34" s="13">
        <v>46478</v>
      </c>
      <c r="H34">
        <f t="shared" ca="1" si="4"/>
        <v>8320.3856578837185</v>
      </c>
      <c r="I34">
        <f t="shared" ca="1" si="3"/>
        <v>1.2898334238624513E-2</v>
      </c>
    </row>
    <row r="35" spans="1:9" x14ac:dyDescent="0.2">
      <c r="A35" s="1">
        <v>41122</v>
      </c>
      <c r="B35" s="2">
        <v>4155.68</v>
      </c>
      <c r="C35">
        <f t="shared" si="0"/>
        <v>-1.7002715514386573E-2</v>
      </c>
      <c r="D35">
        <f t="shared" si="1"/>
        <v>0.98299728448561341</v>
      </c>
      <c r="E35">
        <f t="shared" si="2"/>
        <v>-1.7148921315273014E-2</v>
      </c>
      <c r="G35" s="13">
        <v>46508</v>
      </c>
      <c r="H35">
        <f t="shared" ca="1" si="4"/>
        <v>8616.9199824086827</v>
      </c>
      <c r="I35">
        <f t="shared" ca="1" si="3"/>
        <v>3.5019103329638389E-2</v>
      </c>
    </row>
    <row r="36" spans="1:9" x14ac:dyDescent="0.2">
      <c r="A36" s="1">
        <v>41153</v>
      </c>
      <c r="B36" s="2">
        <v>4230.42</v>
      </c>
      <c r="C36">
        <f t="shared" si="0"/>
        <v>1.7985022908404827E-2</v>
      </c>
      <c r="D36">
        <f t="shared" si="1"/>
        <v>1.0179850229084049</v>
      </c>
      <c r="E36">
        <f t="shared" si="2"/>
        <v>1.7825205749382352E-2</v>
      </c>
      <c r="G36" s="13">
        <v>46539</v>
      </c>
      <c r="H36">
        <f t="shared" ca="1" si="4"/>
        <v>9055.3596908545805</v>
      </c>
      <c r="I36">
        <f t="shared" ca="1" si="3"/>
        <v>4.9629103246392699E-2</v>
      </c>
    </row>
    <row r="37" spans="1:9" x14ac:dyDescent="0.2">
      <c r="A37" s="1">
        <v>41183</v>
      </c>
      <c r="B37" s="2">
        <v>4266.3500000000004</v>
      </c>
      <c r="C37">
        <f t="shared" si="0"/>
        <v>8.4932465334411934E-3</v>
      </c>
      <c r="D37">
        <f t="shared" si="1"/>
        <v>1.0084932465334413</v>
      </c>
      <c r="E37">
        <f t="shared" si="2"/>
        <v>8.4573818437890542E-3</v>
      </c>
      <c r="G37" s="13">
        <v>46569</v>
      </c>
      <c r="H37">
        <f t="shared" ca="1" si="4"/>
        <v>9101.1660721741519</v>
      </c>
      <c r="I37">
        <f t="shared" ca="1" si="3"/>
        <v>5.0457316670588209E-3</v>
      </c>
    </row>
    <row r="38" spans="1:9" x14ac:dyDescent="0.2">
      <c r="A38" s="1">
        <v>41214</v>
      </c>
      <c r="B38" s="2">
        <v>4139.99</v>
      </c>
      <c r="C38">
        <f t="shared" si="0"/>
        <v>-2.9617823197815595E-2</v>
      </c>
      <c r="D38">
        <f t="shared" si="1"/>
        <v>0.97038217680218442</v>
      </c>
      <c r="E38">
        <f t="shared" si="2"/>
        <v>-3.0065288377745615E-2</v>
      </c>
      <c r="G38" s="13">
        <v>46600</v>
      </c>
      <c r="H38">
        <f t="shared" ca="1" si="4"/>
        <v>8910.5145638493905</v>
      </c>
      <c r="I38">
        <f t="shared" ca="1" si="3"/>
        <v>-2.1170554024000338E-2</v>
      </c>
    </row>
    <row r="39" spans="1:9" x14ac:dyDescent="0.2">
      <c r="A39" s="1">
        <v>41244</v>
      </c>
      <c r="B39" s="2">
        <v>4301.38</v>
      </c>
      <c r="C39">
        <f t="shared" si="0"/>
        <v>3.8983185949724594E-2</v>
      </c>
      <c r="D39">
        <f t="shared" si="1"/>
        <v>1.0389831859497245</v>
      </c>
      <c r="E39">
        <f t="shared" si="2"/>
        <v>3.8242529069614735E-2</v>
      </c>
      <c r="G39" s="13">
        <v>46631</v>
      </c>
      <c r="H39">
        <f t="shared" ca="1" si="4"/>
        <v>9048.1913704763392</v>
      </c>
      <c r="I39">
        <f t="shared" ca="1" si="3"/>
        <v>1.5332898084340015E-2</v>
      </c>
    </row>
    <row r="40" spans="1:9" x14ac:dyDescent="0.2">
      <c r="A40" s="1">
        <v>41275</v>
      </c>
      <c r="B40" s="2">
        <v>4552.3999999999996</v>
      </c>
      <c r="C40">
        <f t="shared" si="0"/>
        <v>5.8358015334613433E-2</v>
      </c>
      <c r="D40">
        <f t="shared" si="1"/>
        <v>1.0583580153346135</v>
      </c>
      <c r="E40">
        <f t="shared" si="2"/>
        <v>5.67186649806143E-2</v>
      </c>
      <c r="G40" s="13">
        <v>46661</v>
      </c>
      <c r="H40">
        <f t="shared" ca="1" si="4"/>
        <v>8855.4324191093547</v>
      </c>
      <c r="I40">
        <f t="shared" ca="1" si="3"/>
        <v>-2.1533785803948918E-2</v>
      </c>
    </row>
    <row r="41" spans="1:9" x14ac:dyDescent="0.2">
      <c r="A41" s="1">
        <v>41306</v>
      </c>
      <c r="B41" s="2">
        <v>4558.46</v>
      </c>
      <c r="C41">
        <f t="shared" si="0"/>
        <v>1.3311659783851156E-3</v>
      </c>
      <c r="D41">
        <f t="shared" si="1"/>
        <v>1.001331165978385</v>
      </c>
      <c r="E41">
        <f t="shared" si="2"/>
        <v>1.33028076244648E-3</v>
      </c>
      <c r="G41" s="13">
        <v>46692</v>
      </c>
      <c r="H41">
        <f t="shared" ca="1" si="4"/>
        <v>9133.0731325442885</v>
      </c>
      <c r="I41">
        <f t="shared" ca="1" si="3"/>
        <v>3.087113181325514E-2</v>
      </c>
    </row>
    <row r="42" spans="1:9" x14ac:dyDescent="0.2">
      <c r="A42" s="1">
        <v>41334</v>
      </c>
      <c r="B42" s="2">
        <v>4432.1400000000003</v>
      </c>
      <c r="C42">
        <f t="shared" si="0"/>
        <v>-2.7711112963588518E-2</v>
      </c>
      <c r="D42">
        <f t="shared" si="1"/>
        <v>0.97228888703641148</v>
      </c>
      <c r="E42">
        <f t="shared" si="2"/>
        <v>-2.8102309794312524E-2</v>
      </c>
      <c r="G42" s="13">
        <v>46722</v>
      </c>
      <c r="H42">
        <f t="shared" ca="1" si="4"/>
        <v>9087.7851045451134</v>
      </c>
      <c r="I42">
        <f t="shared" ca="1" si="3"/>
        <v>-4.9710195501611121E-3</v>
      </c>
    </row>
    <row r="43" spans="1:9" x14ac:dyDescent="0.2">
      <c r="A43" s="1">
        <v>41365</v>
      </c>
      <c r="B43" s="2">
        <v>4292.1400000000003</v>
      </c>
      <c r="C43">
        <f t="shared" si="0"/>
        <v>-3.1587449854923351E-2</v>
      </c>
      <c r="D43">
        <f t="shared" si="1"/>
        <v>0.96841255014507666</v>
      </c>
      <c r="E43">
        <f t="shared" si="2"/>
        <v>-3.2097094331539615E-2</v>
      </c>
      <c r="G43" s="13">
        <v>46753</v>
      </c>
      <c r="H43">
        <f t="shared" ca="1" si="4"/>
        <v>8572.8495021839426</v>
      </c>
      <c r="I43">
        <f t="shared" ca="1" si="3"/>
        <v>-5.833104095006246E-2</v>
      </c>
    </row>
    <row r="44" spans="1:9" x14ac:dyDescent="0.2">
      <c r="A44" s="1">
        <v>41395</v>
      </c>
      <c r="B44" s="2">
        <v>4191.26</v>
      </c>
      <c r="C44">
        <f t="shared" si="0"/>
        <v>-2.3503427194825916E-2</v>
      </c>
      <c r="D44">
        <f t="shared" si="1"/>
        <v>0.9764965728051741</v>
      </c>
      <c r="E44">
        <f t="shared" si="2"/>
        <v>-2.3784038343683079E-2</v>
      </c>
      <c r="G44" s="13">
        <v>46784</v>
      </c>
      <c r="H44">
        <f t="shared" ca="1" si="4"/>
        <v>7827.8969913225101</v>
      </c>
      <c r="I44">
        <f t="shared" ca="1" si="3"/>
        <v>-9.0906284238388479E-2</v>
      </c>
    </row>
    <row r="45" spans="1:9" x14ac:dyDescent="0.2">
      <c r="A45" s="1">
        <v>41426</v>
      </c>
      <c r="B45" s="2">
        <v>4029.67</v>
      </c>
      <c r="C45">
        <f t="shared" si="0"/>
        <v>-3.8554038642317615E-2</v>
      </c>
      <c r="D45">
        <f t="shared" si="1"/>
        <v>0.96144596135768234</v>
      </c>
      <c r="E45">
        <f t="shared" si="2"/>
        <v>-3.9316917968826526E-2</v>
      </c>
      <c r="G45" s="13">
        <v>46813</v>
      </c>
      <c r="H45">
        <f ca="1">H44*EXP(I45)</f>
        <v>7543.8086584861476</v>
      </c>
      <c r="I45">
        <f ca="1">_xlfn.NORM.INV(RAND(),$H$3,$H$5)</f>
        <v>-3.6966708837708091E-2</v>
      </c>
    </row>
    <row r="46" spans="1:9" x14ac:dyDescent="0.2">
      <c r="A46" s="1">
        <v>41456</v>
      </c>
      <c r="B46" s="2">
        <v>3732.54</v>
      </c>
      <c r="C46">
        <f t="shared" si="0"/>
        <v>-7.3735566435961283E-2</v>
      </c>
      <c r="D46">
        <f t="shared" si="1"/>
        <v>0.92626443356403876</v>
      </c>
      <c r="E46">
        <f t="shared" si="2"/>
        <v>-7.6595519698067355E-2</v>
      </c>
    </row>
    <row r="47" spans="1:9" x14ac:dyDescent="0.2">
      <c r="A47" s="1">
        <v>41487</v>
      </c>
      <c r="B47" s="2">
        <v>3628.73</v>
      </c>
      <c r="C47">
        <f t="shared" si="0"/>
        <v>-2.781216008401784E-2</v>
      </c>
      <c r="D47">
        <f t="shared" si="1"/>
        <v>0.97218783991598212</v>
      </c>
      <c r="E47">
        <f t="shared" si="2"/>
        <v>-2.8206242249887537E-2</v>
      </c>
    </row>
    <row r="48" spans="1:9" x14ac:dyDescent="0.2">
      <c r="A48" s="1">
        <v>41518</v>
      </c>
      <c r="B48" s="2">
        <v>3823.85</v>
      </c>
      <c r="C48">
        <f t="shared" si="0"/>
        <v>5.3770878516726205E-2</v>
      </c>
      <c r="D48">
        <f t="shared" si="1"/>
        <v>1.0537708785167261</v>
      </c>
      <c r="E48">
        <f t="shared" si="2"/>
        <v>5.237504367664722E-2</v>
      </c>
    </row>
    <row r="49" spans="1:5" x14ac:dyDescent="0.2">
      <c r="A49" s="1">
        <v>41548</v>
      </c>
      <c r="B49" s="2">
        <v>3912.44</v>
      </c>
      <c r="C49">
        <f t="shared" si="0"/>
        <v>2.3167749780979942E-2</v>
      </c>
      <c r="D49">
        <f t="shared" si="1"/>
        <v>1.0231677497809799</v>
      </c>
      <c r="E49">
        <f t="shared" si="2"/>
        <v>2.2903451807048506E-2</v>
      </c>
    </row>
    <row r="50" spans="1:5" x14ac:dyDescent="0.2">
      <c r="A50" s="1">
        <v>41579</v>
      </c>
      <c r="B50" s="2">
        <v>3789.06</v>
      </c>
      <c r="C50">
        <f t="shared" si="0"/>
        <v>-3.1535307889705683E-2</v>
      </c>
      <c r="D50">
        <f t="shared" si="1"/>
        <v>0.96846469211029429</v>
      </c>
      <c r="E50">
        <f t="shared" si="2"/>
        <v>-3.2043253061589519E-2</v>
      </c>
    </row>
    <row r="51" spans="1:5" x14ac:dyDescent="0.2">
      <c r="A51" s="1">
        <v>41609</v>
      </c>
      <c r="B51" s="2">
        <v>3699.19</v>
      </c>
      <c r="C51">
        <f t="shared" si="0"/>
        <v>-2.3718283690413951E-2</v>
      </c>
      <c r="D51">
        <f t="shared" si="1"/>
        <v>0.97628171630958605</v>
      </c>
      <c r="E51">
        <f t="shared" si="2"/>
        <v>-2.4004090458818437E-2</v>
      </c>
    </row>
    <row r="52" spans="1:5" x14ac:dyDescent="0.2">
      <c r="A52" s="1">
        <v>41640</v>
      </c>
      <c r="B52" s="2">
        <v>3439.41</v>
      </c>
      <c r="C52">
        <f t="shared" si="0"/>
        <v>-7.0226184651234508E-2</v>
      </c>
      <c r="D52">
        <f t="shared" si="1"/>
        <v>0.92977381534876546</v>
      </c>
      <c r="E52">
        <f t="shared" si="2"/>
        <v>-7.2813931717416763E-2</v>
      </c>
    </row>
    <row r="53" spans="1:5" x14ac:dyDescent="0.2">
      <c r="A53" s="1">
        <v>41671</v>
      </c>
      <c r="B53" s="2">
        <v>3718.88</v>
      </c>
      <c r="C53">
        <f t="shared" si="0"/>
        <v>8.1255215284016816E-2</v>
      </c>
      <c r="D53">
        <f t="shared" si="1"/>
        <v>1.0812552152840169</v>
      </c>
      <c r="E53">
        <f t="shared" si="2"/>
        <v>7.8122602636381433E-2</v>
      </c>
    </row>
    <row r="54" spans="1:5" x14ac:dyDescent="0.2">
      <c r="A54" s="1">
        <v>41699</v>
      </c>
      <c r="B54" s="2">
        <v>3772.76</v>
      </c>
      <c r="C54">
        <f t="shared" si="0"/>
        <v>1.4488233016392061E-2</v>
      </c>
      <c r="D54">
        <f t="shared" si="1"/>
        <v>1.014488233016392</v>
      </c>
      <c r="E54">
        <f t="shared" si="2"/>
        <v>1.4384281415472192E-2</v>
      </c>
    </row>
    <row r="55" spans="1:5" x14ac:dyDescent="0.2">
      <c r="A55" s="1">
        <v>41730</v>
      </c>
      <c r="B55" s="2">
        <v>3909.64</v>
      </c>
      <c r="C55">
        <f t="shared" si="0"/>
        <v>3.6281131055248585E-2</v>
      </c>
      <c r="D55">
        <f t="shared" si="1"/>
        <v>1.0362811310552487</v>
      </c>
      <c r="E55">
        <f t="shared" si="2"/>
        <v>3.5638469047717933E-2</v>
      </c>
    </row>
    <row r="56" spans="1:5" x14ac:dyDescent="0.2">
      <c r="A56" s="1">
        <v>41760</v>
      </c>
      <c r="B56" s="2">
        <v>3903.81</v>
      </c>
      <c r="C56">
        <f t="shared" si="0"/>
        <v>-1.4911858892378653E-3</v>
      </c>
      <c r="D56">
        <f t="shared" si="1"/>
        <v>0.99850881411076209</v>
      </c>
      <c r="E56">
        <f t="shared" si="2"/>
        <v>-1.492298813438213E-3</v>
      </c>
    </row>
    <row r="57" spans="1:5" x14ac:dyDescent="0.2">
      <c r="A57" s="1">
        <v>41791</v>
      </c>
      <c r="B57" s="2">
        <v>3875.73</v>
      </c>
      <c r="C57">
        <f t="shared" si="0"/>
        <v>-7.1929730186663611E-3</v>
      </c>
      <c r="D57">
        <f t="shared" si="1"/>
        <v>0.99280702698133361</v>
      </c>
      <c r="E57">
        <f t="shared" si="2"/>
        <v>-7.218967174268366E-3</v>
      </c>
    </row>
    <row r="58" spans="1:5" x14ac:dyDescent="0.2">
      <c r="A58" s="1">
        <v>41821</v>
      </c>
      <c r="B58" s="2">
        <v>3875.44</v>
      </c>
      <c r="C58">
        <f t="shared" si="0"/>
        <v>-7.4824613685670478E-5</v>
      </c>
      <c r="D58">
        <f t="shared" si="1"/>
        <v>0.99992517538631431</v>
      </c>
      <c r="E58">
        <f t="shared" si="2"/>
        <v>-7.4827413186741908E-5</v>
      </c>
    </row>
    <row r="59" spans="1:5" x14ac:dyDescent="0.2">
      <c r="A59" s="1">
        <v>41852</v>
      </c>
      <c r="B59" s="2">
        <v>3996.64</v>
      </c>
      <c r="C59">
        <f t="shared" si="0"/>
        <v>3.1273868257539743E-2</v>
      </c>
      <c r="D59">
        <f t="shared" si="1"/>
        <v>1.0312738682575397</v>
      </c>
      <c r="E59">
        <f t="shared" si="2"/>
        <v>3.0794803375921082E-2</v>
      </c>
    </row>
    <row r="60" spans="1:5" x14ac:dyDescent="0.2">
      <c r="A60" s="1">
        <v>41883</v>
      </c>
      <c r="B60" s="2">
        <v>3943.56</v>
      </c>
      <c r="C60">
        <f t="shared" si="0"/>
        <v>-1.3281156171183776E-2</v>
      </c>
      <c r="D60">
        <f t="shared" si="1"/>
        <v>0.98671884382881625</v>
      </c>
      <c r="E60">
        <f t="shared" si="2"/>
        <v>-1.3370139471422659E-2</v>
      </c>
    </row>
    <row r="61" spans="1:5" x14ac:dyDescent="0.2">
      <c r="A61" s="1">
        <v>41913</v>
      </c>
      <c r="B61" s="2">
        <v>3850.97</v>
      </c>
      <c r="C61">
        <f t="shared" si="0"/>
        <v>-2.3478785665743681E-2</v>
      </c>
      <c r="D61">
        <f t="shared" si="1"/>
        <v>0.97652121433425632</v>
      </c>
      <c r="E61">
        <f t="shared" si="2"/>
        <v>-2.3758804032714909E-2</v>
      </c>
    </row>
    <row r="62" spans="1:5" x14ac:dyDescent="0.2">
      <c r="A62" s="1">
        <v>41944</v>
      </c>
      <c r="B62" s="2">
        <v>3991.78</v>
      </c>
      <c r="C62">
        <f t="shared" si="0"/>
        <v>3.6564813540484714E-2</v>
      </c>
      <c r="D62">
        <f t="shared" si="1"/>
        <v>1.0365648135404848</v>
      </c>
      <c r="E62">
        <f t="shared" si="2"/>
        <v>3.5912182092092355E-2</v>
      </c>
    </row>
    <row r="63" spans="1:5" x14ac:dyDescent="0.2">
      <c r="A63" s="1">
        <v>41974</v>
      </c>
      <c r="B63" s="2">
        <v>3850.96</v>
      </c>
      <c r="C63">
        <f t="shared" si="0"/>
        <v>-3.5277495252744429E-2</v>
      </c>
      <c r="D63">
        <f t="shared" si="1"/>
        <v>0.96472250474725563</v>
      </c>
      <c r="E63">
        <f t="shared" si="2"/>
        <v>-3.591477884381554E-2</v>
      </c>
    </row>
    <row r="64" spans="1:5" x14ac:dyDescent="0.2">
      <c r="A64" s="1">
        <v>42005</v>
      </c>
      <c r="B64" s="2">
        <v>3836.73</v>
      </c>
      <c r="C64">
        <f t="shared" si="0"/>
        <v>-3.6951824999480695E-3</v>
      </c>
      <c r="D64">
        <f t="shared" si="1"/>
        <v>0.99630481750005195</v>
      </c>
      <c r="E64">
        <f t="shared" si="2"/>
        <v>-3.7020265520182919E-3</v>
      </c>
    </row>
    <row r="65" spans="1:5" x14ac:dyDescent="0.2">
      <c r="A65" s="1">
        <v>42036</v>
      </c>
      <c r="B65" s="2">
        <v>3983.72</v>
      </c>
      <c r="C65">
        <f t="shared" si="0"/>
        <v>3.8311270274426344E-2</v>
      </c>
      <c r="D65">
        <f t="shared" si="1"/>
        <v>1.0383112702744264</v>
      </c>
      <c r="E65">
        <f t="shared" si="2"/>
        <v>3.7595614813700919E-2</v>
      </c>
    </row>
    <row r="66" spans="1:5" x14ac:dyDescent="0.2">
      <c r="A66" s="1">
        <v>42064</v>
      </c>
      <c r="B66" s="2">
        <v>3916.92</v>
      </c>
      <c r="C66">
        <f t="shared" si="0"/>
        <v>-1.6768246764330759E-2</v>
      </c>
      <c r="D66">
        <f t="shared" si="1"/>
        <v>0.98323175323566925</v>
      </c>
      <c r="E66">
        <f t="shared" si="2"/>
        <v>-1.6910425446613725E-2</v>
      </c>
    </row>
    <row r="67" spans="1:5" x14ac:dyDescent="0.2">
      <c r="A67" s="1">
        <v>42095</v>
      </c>
      <c r="B67" s="2">
        <v>4043.45</v>
      </c>
      <c r="C67">
        <f t="shared" si="0"/>
        <v>3.2303442500740312E-2</v>
      </c>
      <c r="D67">
        <f t="shared" si="1"/>
        <v>1.0323034425007402</v>
      </c>
      <c r="E67">
        <f t="shared" si="2"/>
        <v>3.179265727096333E-2</v>
      </c>
    </row>
    <row r="68" spans="1:5" x14ac:dyDescent="0.2">
      <c r="A68" s="1">
        <v>42125</v>
      </c>
      <c r="B68" s="2">
        <v>4045.62</v>
      </c>
      <c r="C68">
        <f t="shared" si="0"/>
        <v>5.3667041758895815E-4</v>
      </c>
      <c r="D68">
        <f t="shared" si="1"/>
        <v>1.0005366704175889</v>
      </c>
      <c r="E68">
        <f t="shared" si="2"/>
        <v>5.3652646152265045E-4</v>
      </c>
    </row>
    <row r="69" spans="1:5" x14ac:dyDescent="0.2">
      <c r="A69" s="1">
        <v>42156</v>
      </c>
      <c r="B69" s="2">
        <v>3897.1</v>
      </c>
      <c r="C69">
        <f t="shared" si="0"/>
        <v>-3.6711307537534418E-2</v>
      </c>
      <c r="D69">
        <f t="shared" si="1"/>
        <v>0.96328869246246562</v>
      </c>
      <c r="E69">
        <f t="shared" si="2"/>
        <v>-3.7402127621861014E-2</v>
      </c>
    </row>
    <row r="70" spans="1:5" x14ac:dyDescent="0.2">
      <c r="A70" s="1">
        <v>42186</v>
      </c>
      <c r="B70" s="2">
        <v>3870.35</v>
      </c>
      <c r="C70">
        <f t="shared" ref="C70:C133" si="5">(B70-B69)/B69</f>
        <v>-6.8640784172846478E-3</v>
      </c>
      <c r="D70">
        <f t="shared" ref="D70:D133" si="6">C70+1</f>
        <v>0.99313592158271535</v>
      </c>
      <c r="E70">
        <f t="shared" ref="E70:E133" si="7">LN(B70/B69)</f>
        <v>-6.8877445632397546E-3</v>
      </c>
    </row>
    <row r="71" spans="1:5" x14ac:dyDescent="0.2">
      <c r="A71" s="1">
        <v>42217</v>
      </c>
      <c r="B71" s="2">
        <v>3840.21</v>
      </c>
      <c r="C71">
        <f t="shared" si="5"/>
        <v>-7.787409407417901E-3</v>
      </c>
      <c r="D71">
        <f t="shared" si="6"/>
        <v>0.99221259059258204</v>
      </c>
      <c r="E71">
        <f t="shared" si="7"/>
        <v>-7.8178896244627642E-3</v>
      </c>
    </row>
    <row r="72" spans="1:5" x14ac:dyDescent="0.2">
      <c r="A72" s="1">
        <v>42248</v>
      </c>
      <c r="B72" s="2">
        <v>3685.18</v>
      </c>
      <c r="C72">
        <f t="shared" si="5"/>
        <v>-4.0370188088672286E-2</v>
      </c>
      <c r="D72">
        <f t="shared" si="6"/>
        <v>0.95962981191132768</v>
      </c>
      <c r="E72">
        <f t="shared" si="7"/>
        <v>-4.1207681480276509E-2</v>
      </c>
    </row>
    <row r="73" spans="1:5" x14ac:dyDescent="0.2">
      <c r="A73" s="1">
        <v>42278</v>
      </c>
      <c r="B73" s="2">
        <v>3827.99</v>
      </c>
      <c r="C73">
        <f t="shared" si="5"/>
        <v>3.8752516837712123E-2</v>
      </c>
      <c r="D73">
        <f t="shared" si="6"/>
        <v>1.0387525168377121</v>
      </c>
      <c r="E73">
        <f t="shared" si="7"/>
        <v>3.8020490133044843E-2</v>
      </c>
    </row>
    <row r="74" spans="1:5" x14ac:dyDescent="0.2">
      <c r="A74" s="1">
        <v>42309</v>
      </c>
      <c r="B74" s="2">
        <v>3655.3</v>
      </c>
      <c r="C74">
        <f t="shared" si="5"/>
        <v>-4.5112448047147355E-2</v>
      </c>
      <c r="D74">
        <f t="shared" si="6"/>
        <v>0.95488755195285269</v>
      </c>
      <c r="E74">
        <f t="shared" si="7"/>
        <v>-4.6161692080314912E-2</v>
      </c>
    </row>
    <row r="75" spans="1:5" x14ac:dyDescent="0.2">
      <c r="A75" s="1">
        <v>42339</v>
      </c>
      <c r="B75" s="2">
        <v>3680.21</v>
      </c>
      <c r="C75">
        <f t="shared" si="5"/>
        <v>6.8147621262276293E-3</v>
      </c>
      <c r="D75">
        <f t="shared" si="6"/>
        <v>1.0068147621262276</v>
      </c>
      <c r="E75">
        <f t="shared" si="7"/>
        <v>6.7916465932910891E-3</v>
      </c>
    </row>
    <row r="76" spans="1:5" x14ac:dyDescent="0.2">
      <c r="A76" s="1">
        <v>42370</v>
      </c>
      <c r="B76" s="2">
        <v>3705.92</v>
      </c>
      <c r="C76">
        <f t="shared" si="5"/>
        <v>6.9860143850486887E-3</v>
      </c>
      <c r="D76">
        <f t="shared" si="6"/>
        <v>1.0069860143850486</v>
      </c>
      <c r="E76">
        <f t="shared" si="7"/>
        <v>6.9617252438024663E-3</v>
      </c>
    </row>
    <row r="77" spans="1:5" x14ac:dyDescent="0.2">
      <c r="A77" s="1">
        <v>42401</v>
      </c>
      <c r="B77" s="2">
        <v>3715.84</v>
      </c>
      <c r="C77">
        <f t="shared" si="5"/>
        <v>2.676798203954773E-3</v>
      </c>
      <c r="D77">
        <f t="shared" si="6"/>
        <v>1.0026767982039548</v>
      </c>
      <c r="E77">
        <f t="shared" si="7"/>
        <v>2.6732219601429295E-3</v>
      </c>
    </row>
    <row r="78" spans="1:5" x14ac:dyDescent="0.2">
      <c r="A78" s="1">
        <v>42430</v>
      </c>
      <c r="B78" s="2">
        <v>3937.49</v>
      </c>
      <c r="C78">
        <f t="shared" si="5"/>
        <v>5.9650038753014022E-2</v>
      </c>
      <c r="D78">
        <f t="shared" si="6"/>
        <v>1.0596500387530141</v>
      </c>
      <c r="E78">
        <f t="shared" si="7"/>
        <v>5.7938701491968121E-2</v>
      </c>
    </row>
    <row r="79" spans="1:5" x14ac:dyDescent="0.2">
      <c r="A79" s="1">
        <v>42461</v>
      </c>
      <c r="B79" s="2">
        <v>4002.07</v>
      </c>
      <c r="C79">
        <f t="shared" si="5"/>
        <v>1.6401311495394373E-2</v>
      </c>
      <c r="D79">
        <f t="shared" si="6"/>
        <v>1.0164013114953945</v>
      </c>
      <c r="E79">
        <f t="shared" si="7"/>
        <v>1.6268262796957707E-2</v>
      </c>
    </row>
    <row r="80" spans="1:5" x14ac:dyDescent="0.2">
      <c r="A80" s="1">
        <v>42491</v>
      </c>
      <c r="B80" s="2">
        <v>3934.71</v>
      </c>
      <c r="C80">
        <f t="shared" si="5"/>
        <v>-1.6831289807524637E-2</v>
      </c>
      <c r="D80">
        <f t="shared" si="6"/>
        <v>0.98316871019247531</v>
      </c>
      <c r="E80">
        <f t="shared" si="7"/>
        <v>-1.6974545695147055E-2</v>
      </c>
    </row>
    <row r="81" spans="1:5" x14ac:dyDescent="0.2">
      <c r="A81" s="1">
        <v>42522</v>
      </c>
      <c r="B81" s="2">
        <v>3995.91</v>
      </c>
      <c r="C81">
        <f t="shared" si="5"/>
        <v>1.5553878176536471E-2</v>
      </c>
      <c r="D81">
        <f t="shared" si="6"/>
        <v>1.0155538781765365</v>
      </c>
      <c r="E81">
        <f t="shared" si="7"/>
        <v>1.5434156442351455E-2</v>
      </c>
    </row>
    <row r="82" spans="1:5" x14ac:dyDescent="0.2">
      <c r="A82" s="1">
        <v>42552</v>
      </c>
      <c r="B82" s="2">
        <v>4117.47</v>
      </c>
      <c r="C82">
        <f t="shared" si="5"/>
        <v>3.0421105580456118E-2</v>
      </c>
      <c r="D82">
        <f t="shared" si="6"/>
        <v>1.0304211055804562</v>
      </c>
      <c r="E82">
        <f t="shared" si="7"/>
        <v>2.9967559058467826E-2</v>
      </c>
    </row>
    <row r="83" spans="1:5" x14ac:dyDescent="0.2">
      <c r="A83" s="1">
        <v>42583</v>
      </c>
      <c r="B83" s="2">
        <v>4119.28</v>
      </c>
      <c r="C83">
        <f t="shared" si="5"/>
        <v>4.3959033095553594E-4</v>
      </c>
      <c r="D83">
        <f t="shared" si="6"/>
        <v>1.0004395903309555</v>
      </c>
      <c r="E83">
        <f t="shared" si="7"/>
        <v>4.3949373943209211E-4</v>
      </c>
    </row>
    <row r="84" spans="1:5" x14ac:dyDescent="0.2">
      <c r="A84" s="1">
        <v>42614</v>
      </c>
      <c r="B84" s="2">
        <v>4015.25</v>
      </c>
      <c r="C84">
        <f t="shared" si="5"/>
        <v>-2.5254413392631663E-2</v>
      </c>
      <c r="D84">
        <f t="shared" si="6"/>
        <v>0.97474558660736832</v>
      </c>
      <c r="E84">
        <f t="shared" si="7"/>
        <v>-2.5578778847179007E-2</v>
      </c>
    </row>
    <row r="85" spans="1:5" x14ac:dyDescent="0.2">
      <c r="A85" s="1">
        <v>42644</v>
      </c>
      <c r="B85" s="2">
        <v>4289.78</v>
      </c>
      <c r="C85">
        <f t="shared" si="5"/>
        <v>6.8371832389016812E-2</v>
      </c>
      <c r="D85">
        <f t="shared" si="6"/>
        <v>1.0683718323890168</v>
      </c>
      <c r="E85">
        <f t="shared" si="7"/>
        <v>6.6135837612804546E-2</v>
      </c>
    </row>
    <row r="86" spans="1:5" x14ac:dyDescent="0.2">
      <c r="A86" s="1">
        <v>42675</v>
      </c>
      <c r="B86" s="2">
        <v>4207.24</v>
      </c>
      <c r="C86">
        <f t="shared" si="5"/>
        <v>-1.9241079962142572E-2</v>
      </c>
      <c r="D86">
        <f t="shared" si="6"/>
        <v>0.98075892003785747</v>
      </c>
      <c r="E86">
        <f t="shared" si="7"/>
        <v>-1.9428598814939226E-2</v>
      </c>
    </row>
    <row r="87" spans="1:5" x14ac:dyDescent="0.2">
      <c r="A87" s="1">
        <v>42705</v>
      </c>
      <c r="B87" s="2">
        <v>4151.3900000000003</v>
      </c>
      <c r="C87">
        <f t="shared" si="5"/>
        <v>-1.3274735931394324E-2</v>
      </c>
      <c r="D87">
        <f t="shared" si="6"/>
        <v>0.98672526406860572</v>
      </c>
      <c r="E87">
        <f t="shared" si="7"/>
        <v>-1.3363632836890876E-2</v>
      </c>
    </row>
    <row r="88" spans="1:5" x14ac:dyDescent="0.2">
      <c r="A88" s="1">
        <v>42736</v>
      </c>
      <c r="B88" s="2">
        <v>4199.5</v>
      </c>
      <c r="C88">
        <f t="shared" si="5"/>
        <v>1.1588889504479142E-2</v>
      </c>
      <c r="D88">
        <f t="shared" si="6"/>
        <v>1.0115888895044791</v>
      </c>
      <c r="E88">
        <f t="shared" si="7"/>
        <v>1.1522252661700783E-2</v>
      </c>
    </row>
    <row r="89" spans="1:5" x14ac:dyDescent="0.2">
      <c r="A89" s="1">
        <v>42767</v>
      </c>
      <c r="B89" s="2">
        <v>4359.88</v>
      </c>
      <c r="C89">
        <f t="shared" si="5"/>
        <v>3.8190260745326852E-2</v>
      </c>
      <c r="D89">
        <f t="shared" si="6"/>
        <v>1.0381902607453268</v>
      </c>
      <c r="E89">
        <f t="shared" si="7"/>
        <v>3.7479063462855434E-2</v>
      </c>
    </row>
    <row r="90" spans="1:5" x14ac:dyDescent="0.2">
      <c r="A90" s="1">
        <v>42795</v>
      </c>
      <c r="B90" s="2">
        <v>4783.42</v>
      </c>
      <c r="C90">
        <f t="shared" si="5"/>
        <v>9.7144875547033396E-2</v>
      </c>
      <c r="D90">
        <f t="shared" si="6"/>
        <v>1.0971448755470334</v>
      </c>
      <c r="E90">
        <f t="shared" si="7"/>
        <v>9.2711237793881782E-2</v>
      </c>
    </row>
    <row r="91" spans="1:5" x14ac:dyDescent="0.2">
      <c r="A91" s="1">
        <v>42826</v>
      </c>
      <c r="B91" s="2">
        <v>4795.13</v>
      </c>
      <c r="C91">
        <f t="shared" si="5"/>
        <v>2.4480392689749252E-3</v>
      </c>
      <c r="D91">
        <f t="shared" si="6"/>
        <v>1.002448039268975</v>
      </c>
      <c r="E91">
        <f t="shared" si="7"/>
        <v>2.4450477021643866E-3</v>
      </c>
    </row>
    <row r="92" spans="1:5" x14ac:dyDescent="0.2">
      <c r="A92" s="1">
        <v>42856</v>
      </c>
      <c r="B92" s="2">
        <v>4855.75</v>
      </c>
      <c r="C92">
        <f t="shared" si="5"/>
        <v>1.264199302208697E-2</v>
      </c>
      <c r="D92">
        <f t="shared" si="6"/>
        <v>1.0126419930220869</v>
      </c>
      <c r="E92">
        <f t="shared" si="7"/>
        <v>1.2562750187658804E-2</v>
      </c>
    </row>
    <row r="93" spans="1:5" x14ac:dyDescent="0.2">
      <c r="A93" s="1">
        <v>42887</v>
      </c>
      <c r="B93" s="2">
        <v>4747.24</v>
      </c>
      <c r="C93">
        <f t="shared" si="5"/>
        <v>-2.234670236317772E-2</v>
      </c>
      <c r="D93">
        <f t="shared" si="6"/>
        <v>0.97765329763682229</v>
      </c>
      <c r="E93">
        <f t="shared" si="7"/>
        <v>-2.260017319163523E-2</v>
      </c>
    </row>
    <row r="94" spans="1:5" x14ac:dyDescent="0.2">
      <c r="A94" s="1">
        <v>42917</v>
      </c>
      <c r="B94" s="2">
        <v>5064.63</v>
      </c>
      <c r="C94">
        <f t="shared" si="5"/>
        <v>6.6857795266302172E-2</v>
      </c>
      <c r="D94">
        <f t="shared" si="6"/>
        <v>1.0668577952663021</v>
      </c>
      <c r="E94">
        <f t="shared" si="7"/>
        <v>6.4717688148361888E-2</v>
      </c>
    </row>
    <row r="95" spans="1:5" x14ac:dyDescent="0.2">
      <c r="A95" s="1">
        <v>42948</v>
      </c>
      <c r="B95" s="2">
        <v>5153.1499999999996</v>
      </c>
      <c r="C95">
        <f t="shared" si="5"/>
        <v>1.7478078359129793E-2</v>
      </c>
      <c r="D95">
        <f t="shared" si="6"/>
        <v>1.0174780783591297</v>
      </c>
      <c r="E95">
        <f t="shared" si="7"/>
        <v>1.7327093492332645E-2</v>
      </c>
    </row>
    <row r="96" spans="1:5" x14ac:dyDescent="0.2">
      <c r="A96" s="1">
        <v>42979</v>
      </c>
      <c r="B96" s="2">
        <v>5341.93</v>
      </c>
      <c r="C96">
        <f t="shared" si="5"/>
        <v>3.663390353473131E-2</v>
      </c>
      <c r="D96">
        <f t="shared" si="6"/>
        <v>1.0366339035347314</v>
      </c>
      <c r="E96">
        <f t="shared" si="7"/>
        <v>3.5978832716273369E-2</v>
      </c>
    </row>
    <row r="97" spans="1:5" x14ac:dyDescent="0.2">
      <c r="A97" s="1">
        <v>43009</v>
      </c>
      <c r="B97" s="2">
        <v>5588.08</v>
      </c>
      <c r="C97">
        <f t="shared" si="5"/>
        <v>4.6078851650994984E-2</v>
      </c>
      <c r="D97">
        <f t="shared" si="6"/>
        <v>1.0460788516509949</v>
      </c>
      <c r="E97">
        <f t="shared" si="7"/>
        <v>4.5048746789067985E-2</v>
      </c>
    </row>
    <row r="98" spans="1:5" x14ac:dyDescent="0.2">
      <c r="A98" s="1">
        <v>43040</v>
      </c>
      <c r="B98" s="2">
        <v>5003.3999999999996</v>
      </c>
      <c r="C98">
        <f t="shared" si="5"/>
        <v>-0.10462985497702257</v>
      </c>
      <c r="D98">
        <f t="shared" si="6"/>
        <v>0.8953701450229774</v>
      </c>
      <c r="E98">
        <f t="shared" si="7"/>
        <v>-0.11051807634564843</v>
      </c>
    </row>
    <row r="99" spans="1:5" x14ac:dyDescent="0.2">
      <c r="A99" s="1">
        <v>43070</v>
      </c>
      <c r="B99" s="2">
        <v>5564.6</v>
      </c>
      <c r="C99">
        <f t="shared" si="5"/>
        <v>0.11216372866450829</v>
      </c>
      <c r="D99">
        <f t="shared" si="6"/>
        <v>1.1121637286645083</v>
      </c>
      <c r="E99">
        <f t="shared" si="7"/>
        <v>0.10630742299759041</v>
      </c>
    </row>
    <row r="100" spans="1:5" x14ac:dyDescent="0.2">
      <c r="A100" s="1">
        <v>43101</v>
      </c>
      <c r="B100" s="2">
        <v>5855.38</v>
      </c>
      <c r="C100">
        <f t="shared" si="5"/>
        <v>5.2255328325486058E-2</v>
      </c>
      <c r="D100">
        <f t="shared" si="6"/>
        <v>1.0522553283254861</v>
      </c>
      <c r="E100">
        <f t="shared" si="7"/>
        <v>5.093579240054151E-2</v>
      </c>
    </row>
    <row r="101" spans="1:5" x14ac:dyDescent="0.2">
      <c r="A101" s="1">
        <v>43132</v>
      </c>
      <c r="B101" s="2">
        <v>5602.83</v>
      </c>
      <c r="C101">
        <f t="shared" si="5"/>
        <v>-4.3131274144462044E-2</v>
      </c>
      <c r="D101">
        <f t="shared" si="6"/>
        <v>0.95686872585553795</v>
      </c>
      <c r="E101">
        <f t="shared" si="7"/>
        <v>-4.4089069502945631E-2</v>
      </c>
    </row>
    <row r="102" spans="1:5" x14ac:dyDescent="0.2">
      <c r="A102" s="1">
        <v>43160</v>
      </c>
      <c r="B102" s="2">
        <v>5542.22</v>
      </c>
      <c r="C102">
        <f t="shared" si="5"/>
        <v>-1.081774745976581E-2</v>
      </c>
      <c r="D102">
        <f t="shared" si="6"/>
        <v>0.98918225254023417</v>
      </c>
      <c r="E102">
        <f t="shared" si="7"/>
        <v>-1.0876684720817395E-2</v>
      </c>
    </row>
    <row r="103" spans="1:5" x14ac:dyDescent="0.2">
      <c r="A103" s="1">
        <v>43191</v>
      </c>
      <c r="B103" s="2">
        <v>5710.9</v>
      </c>
      <c r="C103">
        <f t="shared" si="5"/>
        <v>3.0435457271634721E-2</v>
      </c>
      <c r="D103">
        <f t="shared" si="6"/>
        <v>1.0304354572716348</v>
      </c>
      <c r="E103">
        <f t="shared" si="7"/>
        <v>2.9981486947907112E-2</v>
      </c>
    </row>
    <row r="104" spans="1:5" x14ac:dyDescent="0.2">
      <c r="A104" s="1">
        <v>43221</v>
      </c>
      <c r="B104" s="2">
        <v>5455.09</v>
      </c>
      <c r="C104">
        <f t="shared" si="5"/>
        <v>-4.4793290024339336E-2</v>
      </c>
      <c r="D104">
        <f t="shared" si="6"/>
        <v>0.95520670997566071</v>
      </c>
      <c r="E104">
        <f t="shared" si="7"/>
        <v>-4.5827511687085536E-2</v>
      </c>
    </row>
    <row r="105" spans="1:5" x14ac:dyDescent="0.2">
      <c r="A105" s="1">
        <v>43252</v>
      </c>
      <c r="B105" s="2">
        <v>5301.25</v>
      </c>
      <c r="C105">
        <f t="shared" si="5"/>
        <v>-2.8201184581739282E-2</v>
      </c>
      <c r="D105">
        <f t="shared" si="6"/>
        <v>0.97179881541826074</v>
      </c>
      <c r="E105">
        <f t="shared" si="7"/>
        <v>-2.8606475967384481E-2</v>
      </c>
    </row>
    <row r="106" spans="1:5" x14ac:dyDescent="0.2">
      <c r="A106" s="1">
        <v>43282</v>
      </c>
      <c r="B106" s="2">
        <v>5434.44</v>
      </c>
      <c r="C106">
        <f t="shared" si="5"/>
        <v>2.5124263145484479E-2</v>
      </c>
      <c r="D106">
        <f t="shared" si="6"/>
        <v>1.0251242631454844</v>
      </c>
      <c r="E106">
        <f t="shared" si="7"/>
        <v>2.4813837579383588E-2</v>
      </c>
    </row>
    <row r="107" spans="1:5" x14ac:dyDescent="0.2">
      <c r="A107" s="1">
        <v>43313</v>
      </c>
      <c r="B107" s="2">
        <v>5270.44</v>
      </c>
      <c r="C107">
        <f t="shared" si="5"/>
        <v>-3.0177902414968243E-2</v>
      </c>
      <c r="D107">
        <f t="shared" si="6"/>
        <v>0.96982209758503179</v>
      </c>
      <c r="E107">
        <f t="shared" si="7"/>
        <v>-3.0642628856893606E-2</v>
      </c>
    </row>
    <row r="108" spans="1:5" x14ac:dyDescent="0.2">
      <c r="A108" s="1">
        <v>43344</v>
      </c>
      <c r="B108" s="2">
        <v>5283.53</v>
      </c>
      <c r="C108">
        <f t="shared" si="5"/>
        <v>2.4836636030388633E-3</v>
      </c>
      <c r="D108">
        <f t="shared" si="6"/>
        <v>1.0024836636030388</v>
      </c>
      <c r="E108">
        <f t="shared" si="7"/>
        <v>2.4805844079948212E-3</v>
      </c>
    </row>
    <row r="109" spans="1:5" x14ac:dyDescent="0.2">
      <c r="A109" s="1">
        <v>43374</v>
      </c>
      <c r="B109" s="2">
        <v>5104.33</v>
      </c>
      <c r="C109">
        <f t="shared" si="5"/>
        <v>-3.3916718557479533E-2</v>
      </c>
      <c r="D109">
        <f t="shared" si="6"/>
        <v>0.96608328144252043</v>
      </c>
      <c r="E109">
        <f t="shared" si="7"/>
        <v>-3.4505235812301416E-2</v>
      </c>
    </row>
    <row r="110" spans="1:5" x14ac:dyDescent="0.2">
      <c r="A110" s="1">
        <v>43405</v>
      </c>
      <c r="B110" s="2">
        <v>5111.88</v>
      </c>
      <c r="C110">
        <f t="shared" si="5"/>
        <v>1.4791363411065081E-3</v>
      </c>
      <c r="D110">
        <f t="shared" si="6"/>
        <v>1.0014791363411064</v>
      </c>
      <c r="E110">
        <f t="shared" si="7"/>
        <v>1.4780434964600494E-3</v>
      </c>
    </row>
    <row r="111" spans="1:5" x14ac:dyDescent="0.2">
      <c r="A111" s="1">
        <v>43435</v>
      </c>
      <c r="B111" s="2">
        <v>5105.43</v>
      </c>
      <c r="C111">
        <f t="shared" si="5"/>
        <v>-1.2617667081386531E-3</v>
      </c>
      <c r="D111">
        <f t="shared" si="6"/>
        <v>0.9987382332918614</v>
      </c>
      <c r="E111">
        <f t="shared" si="7"/>
        <v>-1.2625634059865449E-3</v>
      </c>
    </row>
    <row r="112" spans="1:5" x14ac:dyDescent="0.2">
      <c r="A112" s="1">
        <v>43466</v>
      </c>
      <c r="B112" s="2">
        <v>5405.61</v>
      </c>
      <c r="C112">
        <f t="shared" si="5"/>
        <v>5.8796222845088342E-2</v>
      </c>
      <c r="D112">
        <f t="shared" si="6"/>
        <v>1.0587962228450882</v>
      </c>
      <c r="E112">
        <f t="shared" si="7"/>
        <v>5.7132623972198385E-2</v>
      </c>
    </row>
    <row r="113" spans="1:5" x14ac:dyDescent="0.2">
      <c r="A113" s="1">
        <v>43497</v>
      </c>
      <c r="B113" s="2">
        <v>5287.54</v>
      </c>
      <c r="C113">
        <f t="shared" si="5"/>
        <v>-2.1842123275633965E-2</v>
      </c>
      <c r="D113">
        <f t="shared" si="6"/>
        <v>0.97815787672436605</v>
      </c>
      <c r="E113">
        <f t="shared" si="7"/>
        <v>-2.208419383191686E-2</v>
      </c>
    </row>
    <row r="114" spans="1:5" x14ac:dyDescent="0.2">
      <c r="A114" s="1">
        <v>43525</v>
      </c>
      <c r="B114" s="2">
        <v>5259.41</v>
      </c>
      <c r="C114">
        <f t="shared" si="5"/>
        <v>-5.3200543163739863E-3</v>
      </c>
      <c r="D114">
        <f t="shared" si="6"/>
        <v>0.99467994568362605</v>
      </c>
      <c r="E114">
        <f t="shared" si="7"/>
        <v>-5.3342561975859336E-3</v>
      </c>
    </row>
    <row r="115" spans="1:5" x14ac:dyDescent="0.2">
      <c r="A115" s="1">
        <v>43556</v>
      </c>
      <c r="B115" s="2">
        <v>5187.1000000000004</v>
      </c>
      <c r="C115">
        <f t="shared" si="5"/>
        <v>-1.3748690442463983E-2</v>
      </c>
      <c r="D115">
        <f t="shared" si="6"/>
        <v>0.98625130955753604</v>
      </c>
      <c r="E115">
        <f t="shared" si="7"/>
        <v>-1.384407900794242E-2</v>
      </c>
    </row>
    <row r="116" spans="1:5" x14ac:dyDescent="0.2">
      <c r="A116" s="1">
        <v>43586</v>
      </c>
      <c r="B116" s="2">
        <v>4977.09</v>
      </c>
      <c r="C116">
        <f t="shared" si="5"/>
        <v>-4.0486977309093751E-2</v>
      </c>
      <c r="D116">
        <f t="shared" si="6"/>
        <v>0.95951302269090621</v>
      </c>
      <c r="E116">
        <f t="shared" si="7"/>
        <v>-4.1329391254515215E-2</v>
      </c>
    </row>
    <row r="117" spans="1:5" x14ac:dyDescent="0.2">
      <c r="A117" s="1">
        <v>43617</v>
      </c>
      <c r="B117" s="2">
        <v>5070.72</v>
      </c>
      <c r="C117">
        <f t="shared" si="5"/>
        <v>1.8812197488894133E-2</v>
      </c>
      <c r="D117">
        <f t="shared" si="6"/>
        <v>1.0188121974888942</v>
      </c>
      <c r="E117">
        <f t="shared" si="7"/>
        <v>1.863743645912691E-2</v>
      </c>
    </row>
    <row r="118" spans="1:5" x14ac:dyDescent="0.2">
      <c r="A118" s="1">
        <v>43647</v>
      </c>
      <c r="B118" s="2">
        <v>4972.3599999999997</v>
      </c>
      <c r="C118">
        <f t="shared" si="5"/>
        <v>-1.9397639782910626E-2</v>
      </c>
      <c r="D118">
        <f t="shared" si="6"/>
        <v>0.98060236021708935</v>
      </c>
      <c r="E118">
        <f t="shared" si="7"/>
        <v>-1.958824285673481E-2</v>
      </c>
    </row>
    <row r="119" spans="1:5" x14ac:dyDescent="0.2">
      <c r="A119" s="1">
        <v>43678</v>
      </c>
      <c r="B119" s="2">
        <v>4804.37</v>
      </c>
      <c r="C119">
        <f t="shared" si="5"/>
        <v>-3.3784762165249456E-2</v>
      </c>
      <c r="D119">
        <f t="shared" si="6"/>
        <v>0.9662152378347505</v>
      </c>
      <c r="E119">
        <f t="shared" si="7"/>
        <v>-3.4368656095328333E-2</v>
      </c>
    </row>
    <row r="120" spans="1:5" x14ac:dyDescent="0.2">
      <c r="A120" s="1">
        <v>43709</v>
      </c>
      <c r="B120" s="2">
        <v>5059.04</v>
      </c>
      <c r="C120">
        <f t="shared" si="5"/>
        <v>5.3007990641853166E-2</v>
      </c>
      <c r="D120">
        <f t="shared" si="6"/>
        <v>1.0530079906418532</v>
      </c>
      <c r="E120">
        <f t="shared" si="7"/>
        <v>5.1650821576848027E-2</v>
      </c>
    </row>
    <row r="121" spans="1:5" x14ac:dyDescent="0.2">
      <c r="A121" s="1">
        <v>43739</v>
      </c>
      <c r="B121" s="2">
        <v>4744.13</v>
      </c>
      <c r="C121">
        <f t="shared" si="5"/>
        <v>-6.2246987570764384E-2</v>
      </c>
      <c r="D121">
        <f t="shared" si="6"/>
        <v>0.93775301242923559</v>
      </c>
      <c r="E121">
        <f t="shared" si="7"/>
        <v>-6.426867762408911E-2</v>
      </c>
    </row>
    <row r="122" spans="1:5" x14ac:dyDescent="0.2">
      <c r="A122" s="1">
        <v>43770</v>
      </c>
      <c r="B122" s="2">
        <v>4538.8</v>
      </c>
      <c r="C122">
        <f t="shared" si="5"/>
        <v>-4.3280854445388282E-2</v>
      </c>
      <c r="D122">
        <f t="shared" si="6"/>
        <v>0.95671914555461168</v>
      </c>
      <c r="E122">
        <f t="shared" si="7"/>
        <v>-4.4245404420683893E-2</v>
      </c>
    </row>
    <row r="123" spans="1:5" x14ac:dyDescent="0.2">
      <c r="A123" s="1">
        <v>43800</v>
      </c>
      <c r="B123" s="2">
        <v>4669.8500000000004</v>
      </c>
      <c r="C123">
        <f t="shared" si="5"/>
        <v>2.8873270467965138E-2</v>
      </c>
      <c r="D123">
        <f t="shared" si="6"/>
        <v>1.0288732704679651</v>
      </c>
      <c r="E123">
        <f t="shared" si="7"/>
        <v>2.8464291315906224E-2</v>
      </c>
    </row>
    <row r="124" spans="1:5" x14ac:dyDescent="0.2">
      <c r="A124" s="1">
        <v>43831</v>
      </c>
      <c r="B124" s="2">
        <v>4572.0600000000004</v>
      </c>
      <c r="C124">
        <f t="shared" si="5"/>
        <v>-2.0940715440538767E-2</v>
      </c>
      <c r="D124">
        <f t="shared" si="6"/>
        <v>0.97905928455946123</v>
      </c>
      <c r="E124">
        <f t="shared" si="7"/>
        <v>-2.1163082044569802E-2</v>
      </c>
    </row>
    <row r="125" spans="1:5" x14ac:dyDescent="0.2">
      <c r="A125" s="1">
        <v>43862</v>
      </c>
      <c r="B125" s="2">
        <v>4122.63</v>
      </c>
      <c r="C125">
        <f t="shared" si="5"/>
        <v>-9.8299234918176978E-2</v>
      </c>
      <c r="D125">
        <f t="shared" si="6"/>
        <v>0.90170076508182306</v>
      </c>
      <c r="E125">
        <f t="shared" si="7"/>
        <v>-0.10347255998842145</v>
      </c>
    </row>
    <row r="126" spans="1:5" x14ac:dyDescent="0.2">
      <c r="A126" s="1">
        <v>43891</v>
      </c>
      <c r="B126" s="2">
        <v>3487.49</v>
      </c>
      <c r="C126">
        <f t="shared" si="5"/>
        <v>-0.15406184886831958</v>
      </c>
      <c r="D126">
        <f t="shared" si="6"/>
        <v>0.84593815113168036</v>
      </c>
      <c r="E126">
        <f t="shared" si="7"/>
        <v>-0.16730902945775183</v>
      </c>
    </row>
    <row r="127" spans="1:5" x14ac:dyDescent="0.2">
      <c r="A127" s="1">
        <v>43922</v>
      </c>
      <c r="B127" s="2">
        <v>3977.56</v>
      </c>
      <c r="C127">
        <f t="shared" si="5"/>
        <v>0.14052226673051399</v>
      </c>
      <c r="D127">
        <f t="shared" si="6"/>
        <v>1.1405222667305139</v>
      </c>
      <c r="E127">
        <f t="shared" si="7"/>
        <v>0.13148628620846328</v>
      </c>
    </row>
    <row r="128" spans="1:5" x14ac:dyDescent="0.2">
      <c r="A128" s="1">
        <v>43952</v>
      </c>
      <c r="B128" s="2">
        <v>3647.6</v>
      </c>
      <c r="C128">
        <f t="shared" si="5"/>
        <v>-8.295537968000484E-2</v>
      </c>
      <c r="D128">
        <f t="shared" si="6"/>
        <v>0.91704462031999512</v>
      </c>
      <c r="E128">
        <f t="shared" si="7"/>
        <v>-8.6599148890950453E-2</v>
      </c>
    </row>
    <row r="129" spans="1:5" x14ac:dyDescent="0.2">
      <c r="A129" s="1">
        <v>43983</v>
      </c>
      <c r="B129" s="2">
        <v>3959.02</v>
      </c>
      <c r="C129">
        <f t="shared" si="5"/>
        <v>8.5376686040135999E-2</v>
      </c>
      <c r="D129">
        <f t="shared" si="6"/>
        <v>1.0853766860401359</v>
      </c>
      <c r="E129">
        <f t="shared" si="7"/>
        <v>8.1927102814612629E-2</v>
      </c>
    </row>
    <row r="130" spans="1:5" x14ac:dyDescent="0.2">
      <c r="A130" s="1">
        <v>44013</v>
      </c>
      <c r="B130" s="2">
        <v>4017.08</v>
      </c>
      <c r="C130">
        <f t="shared" si="5"/>
        <v>1.4665245439527951E-2</v>
      </c>
      <c r="D130">
        <f t="shared" si="6"/>
        <v>1.014665245439528</v>
      </c>
      <c r="E130">
        <f t="shared" si="7"/>
        <v>1.4558750646572107E-2</v>
      </c>
    </row>
    <row r="131" spans="1:5" x14ac:dyDescent="0.2">
      <c r="A131" s="1">
        <v>44044</v>
      </c>
      <c r="B131" s="2">
        <v>3767.15</v>
      </c>
      <c r="C131">
        <f t="shared" si="5"/>
        <v>-6.2216834118314759E-2</v>
      </c>
      <c r="D131">
        <f t="shared" si="6"/>
        <v>0.9377831658816852</v>
      </c>
      <c r="E131">
        <f t="shared" si="7"/>
        <v>-6.4236523136427498E-2</v>
      </c>
    </row>
    <row r="132" spans="1:5" x14ac:dyDescent="0.2">
      <c r="A132" s="1">
        <v>44075</v>
      </c>
      <c r="B132" s="2">
        <v>3637.3</v>
      </c>
      <c r="C132">
        <f t="shared" si="5"/>
        <v>-3.4469028310526499E-2</v>
      </c>
      <c r="D132">
        <f t="shared" si="6"/>
        <v>0.96553097168947355</v>
      </c>
      <c r="E132">
        <f t="shared" si="7"/>
        <v>-3.5077099233999674E-2</v>
      </c>
    </row>
    <row r="133" spans="1:5" x14ac:dyDescent="0.2">
      <c r="A133" s="1">
        <v>44105</v>
      </c>
      <c r="B133" s="2">
        <v>3539.92</v>
      </c>
      <c r="C133">
        <f t="shared" si="5"/>
        <v>-2.6772606053941137E-2</v>
      </c>
      <c r="D133">
        <f t="shared" si="6"/>
        <v>0.97322739394605884</v>
      </c>
      <c r="E133">
        <f t="shared" si="7"/>
        <v>-2.7137520147862724E-2</v>
      </c>
    </row>
    <row r="134" spans="1:5" x14ac:dyDescent="0.2">
      <c r="A134" s="1">
        <v>44136</v>
      </c>
      <c r="B134" s="2">
        <v>4032.87</v>
      </c>
      <c r="C134">
        <f t="shared" ref="C134:C186" si="8">(B134-B133)/B133</f>
        <v>0.1392545594250717</v>
      </c>
      <c r="D134">
        <f t="shared" ref="D134:D186" si="9">C134+1</f>
        <v>1.1392545594250718</v>
      </c>
      <c r="E134">
        <f t="shared" ref="E134:E186" si="10">LN(B134/B133)</f>
        <v>0.1303741532825026</v>
      </c>
    </row>
    <row r="135" spans="1:5" x14ac:dyDescent="0.2">
      <c r="A135" s="1">
        <v>44166</v>
      </c>
      <c r="B135" s="2">
        <v>4177.22</v>
      </c>
      <c r="C135">
        <f t="shared" si="8"/>
        <v>3.5793367998472644E-2</v>
      </c>
      <c r="D135">
        <f t="shared" si="9"/>
        <v>1.0357933679984725</v>
      </c>
      <c r="E135">
        <f t="shared" si="10"/>
        <v>3.5167672205221934E-2</v>
      </c>
    </row>
    <row r="136" spans="1:5" x14ac:dyDescent="0.2">
      <c r="A136" s="1">
        <v>44197</v>
      </c>
      <c r="B136" s="2">
        <v>4288.6499999999996</v>
      </c>
      <c r="C136">
        <f t="shared" si="8"/>
        <v>2.6675635949267546E-2</v>
      </c>
      <c r="D136">
        <f t="shared" si="9"/>
        <v>1.0266756359492675</v>
      </c>
      <c r="E136">
        <f t="shared" si="10"/>
        <v>2.6326044593433604E-2</v>
      </c>
    </row>
    <row r="137" spans="1:5" x14ac:dyDescent="0.2">
      <c r="A137" s="1">
        <v>44228</v>
      </c>
      <c r="B137" s="2">
        <v>4573.37</v>
      </c>
      <c r="C137">
        <f t="shared" si="8"/>
        <v>6.6389190071467777E-2</v>
      </c>
      <c r="D137">
        <f t="shared" si="9"/>
        <v>1.0663891900714677</v>
      </c>
      <c r="E137">
        <f t="shared" si="10"/>
        <v>6.4278352988774157E-2</v>
      </c>
    </row>
    <row r="138" spans="1:5" x14ac:dyDescent="0.2">
      <c r="A138" s="1">
        <v>44256</v>
      </c>
      <c r="B138" s="2">
        <v>4898.09</v>
      </c>
      <c r="C138">
        <f t="shared" si="8"/>
        <v>7.1002346191102017E-2</v>
      </c>
      <c r="D138">
        <f t="shared" si="9"/>
        <v>1.071002346191102</v>
      </c>
      <c r="E138">
        <f t="shared" si="10"/>
        <v>6.8594982117835962E-2</v>
      </c>
    </row>
    <row r="139" spans="1:5" x14ac:dyDescent="0.2">
      <c r="A139" s="1">
        <v>44287</v>
      </c>
      <c r="B139" s="2">
        <v>4472.84</v>
      </c>
      <c r="C139">
        <f t="shared" si="8"/>
        <v>-8.6819556194353303E-2</v>
      </c>
      <c r="D139">
        <f t="shared" si="9"/>
        <v>0.91318044380564667</v>
      </c>
      <c r="E139">
        <f t="shared" si="10"/>
        <v>-9.0821779573709085E-2</v>
      </c>
    </row>
    <row r="140" spans="1:5" x14ac:dyDescent="0.2">
      <c r="A140" s="1">
        <v>44317</v>
      </c>
      <c r="B140" s="2">
        <v>4356.43</v>
      </c>
      <c r="C140">
        <f t="shared" si="8"/>
        <v>-2.6025970077176882E-2</v>
      </c>
      <c r="D140">
        <f t="shared" si="9"/>
        <v>0.97397402992282311</v>
      </c>
      <c r="E140">
        <f t="shared" si="10"/>
        <v>-2.6370639018664915E-2</v>
      </c>
    </row>
    <row r="141" spans="1:5" x14ac:dyDescent="0.2">
      <c r="A141" s="1">
        <v>44348</v>
      </c>
      <c r="B141" s="2">
        <v>4331.33</v>
      </c>
      <c r="C141">
        <f t="shared" si="8"/>
        <v>-5.7615983729797935E-3</v>
      </c>
      <c r="D141">
        <f t="shared" si="9"/>
        <v>0.99423840162702015</v>
      </c>
      <c r="E141">
        <f t="shared" si="10"/>
        <v>-5.7782604116923281E-3</v>
      </c>
    </row>
    <row r="142" spans="1:5" x14ac:dyDescent="0.2">
      <c r="A142" s="1">
        <v>44378</v>
      </c>
      <c r="B142" s="2">
        <v>4252.04</v>
      </c>
      <c r="C142">
        <f t="shared" si="8"/>
        <v>-1.8306155384142968E-2</v>
      </c>
      <c r="D142">
        <f t="shared" si="9"/>
        <v>0.98169384461585707</v>
      </c>
      <c r="E142">
        <f t="shared" si="10"/>
        <v>-1.8475786430794408E-2</v>
      </c>
    </row>
    <row r="143" spans="1:5" x14ac:dyDescent="0.2">
      <c r="A143" s="1">
        <v>44409</v>
      </c>
      <c r="B143" s="2">
        <v>4491.57</v>
      </c>
      <c r="C143">
        <f t="shared" si="8"/>
        <v>5.6332960179113968E-2</v>
      </c>
      <c r="D143">
        <f t="shared" si="9"/>
        <v>1.056332960179114</v>
      </c>
      <c r="E143">
        <f t="shared" si="10"/>
        <v>5.4803438786380665E-2</v>
      </c>
    </row>
    <row r="144" spans="1:5" x14ac:dyDescent="0.2">
      <c r="A144" s="1">
        <v>44440</v>
      </c>
      <c r="B144" s="2">
        <v>4362.59</v>
      </c>
      <c r="C144">
        <f t="shared" si="8"/>
        <v>-2.8716016893869978E-2</v>
      </c>
      <c r="D144">
        <f t="shared" si="9"/>
        <v>0.97128398310613007</v>
      </c>
      <c r="E144">
        <f t="shared" si="10"/>
        <v>-2.9136388871321518E-2</v>
      </c>
    </row>
    <row r="145" spans="1:5" x14ac:dyDescent="0.2">
      <c r="A145" s="1">
        <v>44470</v>
      </c>
      <c r="B145" s="2">
        <v>4092.2</v>
      </c>
      <c r="C145">
        <f t="shared" si="8"/>
        <v>-6.1979237104564107E-2</v>
      </c>
      <c r="D145">
        <f t="shared" si="9"/>
        <v>0.9380207628954359</v>
      </c>
      <c r="E145">
        <f t="shared" si="10"/>
        <v>-6.3983194937913435E-2</v>
      </c>
    </row>
    <row r="146" spans="1:5" x14ac:dyDescent="0.2">
      <c r="A146" s="1">
        <v>44501</v>
      </c>
      <c r="B146" s="2">
        <v>4432.71</v>
      </c>
      <c r="C146">
        <f t="shared" si="8"/>
        <v>8.3209520551292757E-2</v>
      </c>
      <c r="D146">
        <f t="shared" si="9"/>
        <v>1.0832095205512928</v>
      </c>
      <c r="E146">
        <f t="shared" si="10"/>
        <v>7.9928412420199255E-2</v>
      </c>
    </row>
    <row r="147" spans="1:5" x14ac:dyDescent="0.2">
      <c r="A147" s="1">
        <v>44531</v>
      </c>
      <c r="B147" s="2">
        <v>4308.38</v>
      </c>
      <c r="C147">
        <f t="shared" si="8"/>
        <v>-2.8048304536051293E-2</v>
      </c>
      <c r="D147">
        <f t="shared" si="9"/>
        <v>0.97195169546394866</v>
      </c>
      <c r="E147">
        <f t="shared" si="10"/>
        <v>-2.8449171781330503E-2</v>
      </c>
    </row>
    <row r="148" spans="1:5" x14ac:dyDescent="0.2">
      <c r="A148" s="1">
        <v>44562</v>
      </c>
      <c r="B148" s="2">
        <v>4548.45</v>
      </c>
      <c r="C148">
        <f t="shared" si="8"/>
        <v>5.5721640152447023E-2</v>
      </c>
      <c r="D148">
        <f t="shared" si="9"/>
        <v>1.055721640152447</v>
      </c>
      <c r="E148">
        <f t="shared" si="10"/>
        <v>5.4224552195434837E-2</v>
      </c>
    </row>
    <row r="149" spans="1:5" x14ac:dyDescent="0.2">
      <c r="A149" s="1">
        <v>44593</v>
      </c>
      <c r="B149" s="2">
        <v>4534.47</v>
      </c>
      <c r="C149">
        <f t="shared" si="8"/>
        <v>-3.0735745143949176E-3</v>
      </c>
      <c r="D149">
        <f t="shared" si="9"/>
        <v>0.99692642548560506</v>
      </c>
      <c r="E149">
        <f t="shared" si="10"/>
        <v>-3.0783076454515153E-3</v>
      </c>
    </row>
    <row r="150" spans="1:5" x14ac:dyDescent="0.2">
      <c r="A150" s="1">
        <v>44621</v>
      </c>
      <c r="B150" s="2">
        <v>4936.97</v>
      </c>
      <c r="C150">
        <f t="shared" si="8"/>
        <v>8.8764508310783835E-2</v>
      </c>
      <c r="D150">
        <f t="shared" si="9"/>
        <v>1.0887645083107838</v>
      </c>
      <c r="E150">
        <f t="shared" si="10"/>
        <v>8.5043574754374088E-2</v>
      </c>
    </row>
    <row r="151" spans="1:5" x14ac:dyDescent="0.2">
      <c r="A151" s="1">
        <v>44652</v>
      </c>
      <c r="B151" s="2">
        <v>4778.43</v>
      </c>
      <c r="C151">
        <f t="shared" si="8"/>
        <v>-3.2112814134985616E-2</v>
      </c>
      <c r="D151">
        <f t="shared" si="9"/>
        <v>0.96788718586501443</v>
      </c>
      <c r="E151">
        <f t="shared" si="10"/>
        <v>-3.2639742025162323E-2</v>
      </c>
    </row>
    <row r="152" spans="1:5" x14ac:dyDescent="0.2">
      <c r="A152" s="1">
        <v>44682</v>
      </c>
      <c r="B152" s="2">
        <v>5350.48</v>
      </c>
      <c r="C152">
        <f t="shared" si="8"/>
        <v>0.11971505285208724</v>
      </c>
      <c r="D152">
        <f t="shared" si="9"/>
        <v>1.1197150528520872</v>
      </c>
      <c r="E152">
        <f t="shared" si="10"/>
        <v>0.11307423584113262</v>
      </c>
    </row>
    <row r="153" spans="1:5" x14ac:dyDescent="0.2">
      <c r="A153" s="1">
        <v>44713</v>
      </c>
      <c r="B153" s="2">
        <v>4950.3900000000003</v>
      </c>
      <c r="C153">
        <f t="shared" si="8"/>
        <v>-7.4776468653279568E-2</v>
      </c>
      <c r="D153">
        <f t="shared" si="9"/>
        <v>0.92522353134672042</v>
      </c>
      <c r="E153">
        <f t="shared" si="10"/>
        <v>-7.7719915153733429E-2</v>
      </c>
    </row>
    <row r="154" spans="1:5" x14ac:dyDescent="0.2">
      <c r="A154" s="1">
        <v>44743</v>
      </c>
      <c r="B154" s="2">
        <v>5259.05</v>
      </c>
      <c r="C154">
        <f t="shared" si="8"/>
        <v>6.235064308064614E-2</v>
      </c>
      <c r="D154">
        <f t="shared" si="9"/>
        <v>1.0623506430806462</v>
      </c>
      <c r="E154">
        <f t="shared" si="10"/>
        <v>6.0484040717159793E-2</v>
      </c>
    </row>
    <row r="155" spans="1:5" x14ac:dyDescent="0.2">
      <c r="A155" s="1">
        <v>44774</v>
      </c>
      <c r="B155" s="2">
        <v>5441.26</v>
      </c>
      <c r="C155">
        <f t="shared" si="8"/>
        <v>3.4646941938182754E-2</v>
      </c>
      <c r="D155">
        <f t="shared" si="9"/>
        <v>1.0346469419381827</v>
      </c>
      <c r="E155">
        <f t="shared" si="10"/>
        <v>3.4060249622739298E-2</v>
      </c>
    </row>
    <row r="156" spans="1:5" x14ac:dyDescent="0.2">
      <c r="A156" s="1">
        <v>44805</v>
      </c>
      <c r="B156" s="2">
        <v>5114.1899999999996</v>
      </c>
      <c r="C156">
        <f t="shared" si="8"/>
        <v>-6.0109239404108721E-2</v>
      </c>
      <c r="D156">
        <f t="shared" si="9"/>
        <v>0.93989076059589127</v>
      </c>
      <c r="E156">
        <f t="shared" si="10"/>
        <v>-6.1991622603271054E-2</v>
      </c>
    </row>
    <row r="157" spans="1:5" x14ac:dyDescent="0.2">
      <c r="A157" s="1">
        <v>44835</v>
      </c>
      <c r="B157" s="2">
        <v>5193.8100000000004</v>
      </c>
      <c r="C157">
        <f t="shared" si="8"/>
        <v>1.556844778938616E-2</v>
      </c>
      <c r="D157">
        <f t="shared" si="9"/>
        <v>1.0155684477893863</v>
      </c>
      <c r="E157">
        <f t="shared" si="10"/>
        <v>1.5448502809051015E-2</v>
      </c>
    </row>
    <row r="158" spans="1:5" x14ac:dyDescent="0.2">
      <c r="A158" s="1">
        <v>44866</v>
      </c>
      <c r="B158" s="2">
        <v>5282.61</v>
      </c>
      <c r="C158">
        <f t="shared" si="8"/>
        <v>1.7097275410536631E-2</v>
      </c>
      <c r="D158">
        <f t="shared" si="9"/>
        <v>1.0170972754105367</v>
      </c>
      <c r="E158">
        <f t="shared" si="10"/>
        <v>1.6952761863539362E-2</v>
      </c>
    </row>
    <row r="159" spans="1:5" x14ac:dyDescent="0.2">
      <c r="A159" s="1">
        <v>44896</v>
      </c>
      <c r="B159" s="2">
        <v>5261.91</v>
      </c>
      <c r="C159">
        <f t="shared" si="8"/>
        <v>-3.9185175509832866E-3</v>
      </c>
      <c r="D159">
        <f t="shared" si="9"/>
        <v>0.99608148244901673</v>
      </c>
      <c r="E159">
        <f t="shared" si="10"/>
        <v>-3.9262150560010209E-3</v>
      </c>
    </row>
    <row r="160" spans="1:5" x14ac:dyDescent="0.2">
      <c r="A160" s="1">
        <v>44927</v>
      </c>
      <c r="B160" s="2">
        <v>5322.39</v>
      </c>
      <c r="C160">
        <f t="shared" si="8"/>
        <v>1.1493925209667303E-2</v>
      </c>
      <c r="D160">
        <f t="shared" si="9"/>
        <v>1.0114939252096673</v>
      </c>
      <c r="E160">
        <f t="shared" si="10"/>
        <v>1.1428371883127729E-2</v>
      </c>
    </row>
    <row r="161" spans="1:5" x14ac:dyDescent="0.2">
      <c r="A161" s="1">
        <v>44958</v>
      </c>
      <c r="B161" s="2">
        <v>5394.9</v>
      </c>
      <c r="C161">
        <f t="shared" si="8"/>
        <v>1.362357888091615E-2</v>
      </c>
      <c r="D161">
        <f t="shared" si="9"/>
        <v>1.0136235788809163</v>
      </c>
      <c r="E161">
        <f t="shared" si="10"/>
        <v>1.3531612264994022E-2</v>
      </c>
    </row>
    <row r="162" spans="1:5" x14ac:dyDescent="0.2">
      <c r="A162" s="1">
        <v>44986</v>
      </c>
      <c r="B162" s="2">
        <v>5324.62</v>
      </c>
      <c r="C162">
        <f t="shared" si="8"/>
        <v>-1.3027118204229875E-2</v>
      </c>
      <c r="D162">
        <f t="shared" si="9"/>
        <v>0.98697288179577014</v>
      </c>
      <c r="E162">
        <f t="shared" si="10"/>
        <v>-1.3112715310335534E-2</v>
      </c>
    </row>
    <row r="163" spans="1:5" x14ac:dyDescent="0.2">
      <c r="A163" s="1">
        <v>45017</v>
      </c>
      <c r="B163" s="2">
        <v>5416.09</v>
      </c>
      <c r="C163">
        <f t="shared" si="8"/>
        <v>1.717869068590815E-2</v>
      </c>
      <c r="D163">
        <f t="shared" si="9"/>
        <v>1.0171786906859082</v>
      </c>
      <c r="E163">
        <f t="shared" si="10"/>
        <v>1.7032805354955244E-2</v>
      </c>
    </row>
    <row r="164" spans="1:5" x14ac:dyDescent="0.2">
      <c r="A164" s="1">
        <v>45047</v>
      </c>
      <c r="B164" s="2">
        <v>5471.54</v>
      </c>
      <c r="C164">
        <f t="shared" si="8"/>
        <v>1.023801303154117E-2</v>
      </c>
      <c r="D164">
        <f t="shared" si="9"/>
        <v>1.0102380130315411</v>
      </c>
      <c r="E164">
        <f t="shared" si="10"/>
        <v>1.0185959557416861E-2</v>
      </c>
    </row>
    <row r="165" spans="1:5" x14ac:dyDescent="0.2">
      <c r="A165" s="1">
        <v>45078</v>
      </c>
      <c r="B165" s="2">
        <v>5786.8</v>
      </c>
      <c r="C165">
        <f t="shared" si="8"/>
        <v>5.7618147724406696E-2</v>
      </c>
      <c r="D165">
        <f t="shared" si="9"/>
        <v>1.0576181477244067</v>
      </c>
      <c r="E165">
        <f t="shared" si="10"/>
        <v>5.6019349314137754E-2</v>
      </c>
    </row>
    <row r="166" spans="1:5" x14ac:dyDescent="0.2">
      <c r="A166" s="1">
        <v>45108</v>
      </c>
      <c r="B166" s="2">
        <v>6394.4</v>
      </c>
      <c r="C166">
        <f t="shared" si="8"/>
        <v>0.10499758070090541</v>
      </c>
      <c r="D166">
        <f t="shared" si="9"/>
        <v>1.1049975807009054</v>
      </c>
      <c r="E166">
        <f t="shared" si="10"/>
        <v>9.9843145556374011E-2</v>
      </c>
    </row>
    <row r="167" spans="1:5" x14ac:dyDescent="0.2">
      <c r="A167" s="1">
        <v>45139</v>
      </c>
      <c r="B167" s="2">
        <v>6009.28</v>
      </c>
      <c r="C167">
        <f t="shared" si="8"/>
        <v>-6.0227699236832216E-2</v>
      </c>
      <c r="D167">
        <f t="shared" si="9"/>
        <v>0.93977230076316776</v>
      </c>
      <c r="E167">
        <f t="shared" si="10"/>
        <v>-6.2117666291967785E-2</v>
      </c>
    </row>
    <row r="168" spans="1:5" x14ac:dyDescent="0.2">
      <c r="A168" s="1">
        <v>45170</v>
      </c>
      <c r="B168" s="2">
        <v>5833.36</v>
      </c>
      <c r="C168">
        <f t="shared" si="8"/>
        <v>-2.9274721763672202E-2</v>
      </c>
      <c r="D168">
        <f t="shared" si="9"/>
        <v>0.97072527823632782</v>
      </c>
      <c r="E168">
        <f t="shared" si="10"/>
        <v>-2.97117773582233E-2</v>
      </c>
    </row>
    <row r="169" spans="1:5" x14ac:dyDescent="0.2">
      <c r="A169" s="1">
        <v>45200</v>
      </c>
      <c r="B169" s="2">
        <v>5407.5</v>
      </c>
      <c r="C169">
        <f t="shared" si="8"/>
        <v>-7.3004237694913349E-2</v>
      </c>
      <c r="D169">
        <f t="shared" si="9"/>
        <v>0.92699576230508662</v>
      </c>
      <c r="E169">
        <f t="shared" si="10"/>
        <v>-7.5806284834404353E-2</v>
      </c>
    </row>
    <row r="170" spans="1:5" x14ac:dyDescent="0.2">
      <c r="A170" s="1">
        <v>45231</v>
      </c>
      <c r="B170" s="2">
        <v>5818.51</v>
      </c>
      <c r="C170">
        <f t="shared" si="8"/>
        <v>7.6007397133610766E-2</v>
      </c>
      <c r="D170">
        <f t="shared" si="9"/>
        <v>1.0760073971336108</v>
      </c>
      <c r="E170">
        <f t="shared" si="10"/>
        <v>7.3257336375451926E-2</v>
      </c>
    </row>
    <row r="171" spans="1:5" x14ac:dyDescent="0.2">
      <c r="A171" s="1">
        <v>45261</v>
      </c>
      <c r="B171" s="2">
        <v>6197.77</v>
      </c>
      <c r="C171">
        <f t="shared" si="8"/>
        <v>6.5181635848352959E-2</v>
      </c>
      <c r="D171">
        <f t="shared" si="9"/>
        <v>1.065181635848353</v>
      </c>
      <c r="E171">
        <f t="shared" si="10"/>
        <v>6.3145334711725093E-2</v>
      </c>
    </row>
    <row r="172" spans="1:5" x14ac:dyDescent="0.2">
      <c r="A172" s="1">
        <v>45292</v>
      </c>
      <c r="B172" s="2">
        <v>5987.14</v>
      </c>
      <c r="C172">
        <f t="shared" si="8"/>
        <v>-3.3984804211837499E-2</v>
      </c>
      <c r="D172">
        <f t="shared" si="9"/>
        <v>0.96601519578816253</v>
      </c>
      <c r="E172">
        <f t="shared" si="10"/>
        <v>-3.4575714263776279E-2</v>
      </c>
    </row>
    <row r="173" spans="1:5" x14ac:dyDescent="0.2">
      <c r="A173" s="1">
        <v>45323</v>
      </c>
      <c r="B173" s="2">
        <v>6449.88</v>
      </c>
      <c r="C173">
        <f t="shared" si="8"/>
        <v>7.7288989400615279E-2</v>
      </c>
      <c r="D173">
        <f t="shared" si="9"/>
        <v>1.0772889894006152</v>
      </c>
      <c r="E173">
        <f t="shared" si="10"/>
        <v>7.4447690314972254E-2</v>
      </c>
    </row>
    <row r="174" spans="1:5" x14ac:dyDescent="0.2">
      <c r="A174" s="1">
        <v>45352</v>
      </c>
      <c r="B174" s="2">
        <v>6643.76</v>
      </c>
      <c r="C174">
        <f t="shared" si="8"/>
        <v>3.0059473974709622E-2</v>
      </c>
      <c r="D174">
        <f t="shared" si="9"/>
        <v>1.0300594739747095</v>
      </c>
      <c r="E174">
        <f t="shared" si="10"/>
        <v>2.9616542297574253E-2</v>
      </c>
    </row>
    <row r="175" spans="1:5" x14ac:dyDescent="0.2">
      <c r="A175" s="1">
        <v>45383</v>
      </c>
      <c r="B175" s="2">
        <v>6511.93</v>
      </c>
      <c r="C175">
        <f t="shared" si="8"/>
        <v>-1.9842679446578432E-2</v>
      </c>
      <c r="D175">
        <f t="shared" si="9"/>
        <v>0.98015732055342153</v>
      </c>
      <c r="E175">
        <f t="shared" si="10"/>
        <v>-2.0042189024309282E-2</v>
      </c>
    </row>
    <row r="176" spans="1:5" x14ac:dyDescent="0.2">
      <c r="A176" s="1">
        <v>45413</v>
      </c>
      <c r="B176" s="2">
        <v>6632.8</v>
      </c>
      <c r="C176">
        <f t="shared" si="8"/>
        <v>1.85613174588793E-2</v>
      </c>
      <c r="D176">
        <f t="shared" si="9"/>
        <v>1.0185613174588792</v>
      </c>
      <c r="E176">
        <f t="shared" si="10"/>
        <v>1.8391158563157085E-2</v>
      </c>
    </row>
    <row r="177" spans="1:5" x14ac:dyDescent="0.2">
      <c r="A177" s="1">
        <v>45444</v>
      </c>
      <c r="B177" s="2">
        <v>6413.88</v>
      </c>
      <c r="C177">
        <f t="shared" si="8"/>
        <v>-3.3005668797491262E-2</v>
      </c>
      <c r="D177">
        <f t="shared" si="9"/>
        <v>0.96699433120250877</v>
      </c>
      <c r="E177">
        <f t="shared" si="10"/>
        <v>-3.3562645797826439E-2</v>
      </c>
    </row>
    <row r="178" spans="1:5" x14ac:dyDescent="0.2">
      <c r="A178" s="1">
        <v>45474</v>
      </c>
      <c r="B178" s="2">
        <v>6440.56</v>
      </c>
      <c r="C178">
        <f t="shared" si="8"/>
        <v>4.1597285886234682E-3</v>
      </c>
      <c r="D178">
        <f t="shared" si="9"/>
        <v>1.0041597285886235</v>
      </c>
      <c r="E178">
        <f t="shared" si="10"/>
        <v>4.1511008354568057E-3</v>
      </c>
    </row>
    <row r="179" spans="1:5" x14ac:dyDescent="0.2">
      <c r="A179" s="1">
        <v>45505</v>
      </c>
      <c r="B179" s="2">
        <v>6459.96</v>
      </c>
      <c r="C179">
        <f t="shared" si="8"/>
        <v>3.0121604332541945E-3</v>
      </c>
      <c r="D179">
        <f t="shared" si="9"/>
        <v>1.0030121604332543</v>
      </c>
      <c r="E179">
        <f t="shared" si="10"/>
        <v>3.007632967373683E-3</v>
      </c>
    </row>
    <row r="180" spans="1:5" x14ac:dyDescent="0.2">
      <c r="A180" s="1">
        <v>45536</v>
      </c>
      <c r="B180" s="2">
        <v>6490.57</v>
      </c>
      <c r="C180">
        <f t="shared" si="8"/>
        <v>4.7384194329376144E-3</v>
      </c>
      <c r="D180">
        <f t="shared" si="9"/>
        <v>1.0047384194329376</v>
      </c>
      <c r="E180">
        <f t="shared" si="10"/>
        <v>4.7272284613305406E-3</v>
      </c>
    </row>
    <row r="181" spans="1:5" x14ac:dyDescent="0.2">
      <c r="A181" s="1">
        <v>45566</v>
      </c>
      <c r="B181" s="2">
        <v>6550.32</v>
      </c>
      <c r="C181">
        <f t="shared" si="8"/>
        <v>9.2056629849150383E-3</v>
      </c>
      <c r="D181">
        <f t="shared" si="9"/>
        <v>1.0092056629849151</v>
      </c>
      <c r="E181">
        <f t="shared" si="10"/>
        <v>9.1635491294214267E-3</v>
      </c>
    </row>
    <row r="182" spans="1:5" x14ac:dyDescent="0.2">
      <c r="A182" s="1">
        <v>45597</v>
      </c>
      <c r="B182" s="2">
        <v>6576.6</v>
      </c>
      <c r="C182">
        <f t="shared" si="8"/>
        <v>4.0120177334848767E-3</v>
      </c>
      <c r="D182">
        <f t="shared" si="9"/>
        <v>1.0040120177334848</v>
      </c>
      <c r="E182">
        <f t="shared" si="10"/>
        <v>4.0039910519678546E-3</v>
      </c>
    </row>
    <row r="183" spans="1:5" x14ac:dyDescent="0.2">
      <c r="A183" s="1">
        <v>45627</v>
      </c>
      <c r="B183" s="2">
        <v>6710.02</v>
      </c>
      <c r="C183">
        <f t="shared" si="8"/>
        <v>2.0287078429583685E-2</v>
      </c>
      <c r="D183">
        <f t="shared" si="9"/>
        <v>1.0202870784295837</v>
      </c>
      <c r="E183">
        <f t="shared" si="10"/>
        <v>2.0084037137484145E-2</v>
      </c>
    </row>
    <row r="184" spans="1:5" x14ac:dyDescent="0.2">
      <c r="A184" s="1">
        <v>45658</v>
      </c>
      <c r="B184" s="2">
        <v>7199.59</v>
      </c>
      <c r="C184">
        <f t="shared" si="8"/>
        <v>7.2961034393340063E-2</v>
      </c>
      <c r="D184">
        <f t="shared" si="9"/>
        <v>1.07296103439334</v>
      </c>
      <c r="E184">
        <f t="shared" si="10"/>
        <v>7.0422148351088842E-2</v>
      </c>
    </row>
    <row r="185" spans="1:5" x14ac:dyDescent="0.2">
      <c r="A185" s="1">
        <v>45689</v>
      </c>
      <c r="B185" s="2">
        <v>7332.12</v>
      </c>
      <c r="C185">
        <f t="shared" si="8"/>
        <v>1.8407992677360759E-2</v>
      </c>
      <c r="D185">
        <f t="shared" si="9"/>
        <v>1.0184079926773608</v>
      </c>
      <c r="E185">
        <f t="shared" si="10"/>
        <v>1.8240616499469609E-2</v>
      </c>
    </row>
    <row r="186" spans="1:5" x14ac:dyDescent="0.2">
      <c r="A186" s="1">
        <v>45717</v>
      </c>
      <c r="B186" s="2">
        <v>7648.59</v>
      </c>
      <c r="C186">
        <f t="shared" si="8"/>
        <v>4.3162141372481665E-2</v>
      </c>
      <c r="D186">
        <f t="shared" si="9"/>
        <v>1.0431621413724816</v>
      </c>
      <c r="E186">
        <f t="shared" si="10"/>
        <v>4.225662066945382E-2</v>
      </c>
    </row>
    <row r="187" spans="1:5" x14ac:dyDescent="0.2">
      <c r="A187" s="4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1FB8-07AF-7041-8986-9B8FC354D8FD}">
  <dimension ref="A4:F40"/>
  <sheetViews>
    <sheetView workbookViewId="0">
      <selection activeCell="G35" sqref="G35"/>
    </sheetView>
  </sheetViews>
  <sheetFormatPr baseColWidth="10" defaultRowHeight="15" x14ac:dyDescent="0.2"/>
  <cols>
    <col min="1" max="1" width="14.33203125" customWidth="1"/>
  </cols>
  <sheetData>
    <row r="4" spans="1:6" ht="31" customHeight="1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2">
      <c r="A5" s="14">
        <v>45748</v>
      </c>
      <c r="B5" s="5">
        <f ca="1">_xlfn.NORM.INV(RAND(),'Hoja 1'!$H$3,'Hoja 1'!$H$5)</f>
        <v>-2.5889916560528154E-2</v>
      </c>
      <c r="C5" s="5">
        <f ca="1">_xlfn.NORM.INV(RAND(),'Hoja 1'!$H$3,'Hoja 1'!$H$5)</f>
        <v>-2.7740155995723857E-2</v>
      </c>
      <c r="D5" s="5">
        <f ca="1">_xlfn.NORM.INV(RAND(),'Hoja 1'!$H$3,'Hoja 1'!$H$5)</f>
        <v>-2.0822636781937947E-2</v>
      </c>
      <c r="E5" s="5">
        <f ca="1">_xlfn.NORM.INV(RAND(),'Hoja 1'!$H$3,'Hoja 1'!$H$5)</f>
        <v>2.7603434842166513E-2</v>
      </c>
      <c r="F5" s="5">
        <f ca="1">_xlfn.NORM.INV(RAND(),'Hoja 1'!$H$3,'Hoja 1'!$H$5)</f>
        <v>2.4978393054903694E-2</v>
      </c>
    </row>
    <row r="6" spans="1:6" x14ac:dyDescent="0.2">
      <c r="A6" s="14">
        <v>45778</v>
      </c>
      <c r="B6" s="5">
        <f ca="1">_xlfn.NORM.INV(RAND(),'Hoja 1'!$H$3,'Hoja 1'!$H$5)</f>
        <v>-3.0941584107042199E-2</v>
      </c>
      <c r="C6" s="5">
        <f ca="1">_xlfn.NORM.INV(RAND(),'Hoja 1'!$H$3,'Hoja 1'!$H$5)</f>
        <v>-8.1775163815987498E-2</v>
      </c>
      <c r="D6" s="5">
        <f ca="1">_xlfn.NORM.INV(RAND(),'Hoja 1'!$H$3,'Hoja 1'!$H$5)</f>
        <v>-3.0945675899743025E-2</v>
      </c>
      <c r="E6" s="5">
        <f ca="1">_xlfn.NORM.INV(RAND(),'Hoja 1'!$H$3,'Hoja 1'!$H$5)</f>
        <v>-4.4984819080026708E-3</v>
      </c>
      <c r="F6" s="5">
        <f ca="1">_xlfn.NORM.INV(RAND(),'Hoja 1'!$H$3,'Hoja 1'!$H$5)</f>
        <v>6.7785045378532319E-2</v>
      </c>
    </row>
    <row r="7" spans="1:6" x14ac:dyDescent="0.2">
      <c r="A7" s="14">
        <v>45809</v>
      </c>
      <c r="B7" s="5">
        <f ca="1">_xlfn.NORM.INV(RAND(),'Hoja 1'!$H$3,'Hoja 1'!$H$5)</f>
        <v>1.3811712394998323E-2</v>
      </c>
      <c r="C7" s="5">
        <f ca="1">_xlfn.NORM.INV(RAND(),'Hoja 1'!$H$3,'Hoja 1'!$H$5)</f>
        <v>6.2722329623128723E-2</v>
      </c>
      <c r="D7" s="5">
        <f ca="1">_xlfn.NORM.INV(RAND(),'Hoja 1'!$H$3,'Hoja 1'!$H$5)</f>
        <v>6.3164546412518806E-4</v>
      </c>
      <c r="E7" s="5">
        <f ca="1">_xlfn.NORM.INV(RAND(),'Hoja 1'!$H$3,'Hoja 1'!$H$5)</f>
        <v>-7.0592177720629496E-4</v>
      </c>
      <c r="F7" s="5">
        <f ca="1">_xlfn.NORM.INV(RAND(),'Hoja 1'!$H$3,'Hoja 1'!$H$5)</f>
        <v>4.2261825439932614E-2</v>
      </c>
    </row>
    <row r="8" spans="1:6" x14ac:dyDescent="0.2">
      <c r="A8" s="14">
        <v>45839</v>
      </c>
      <c r="B8" s="5">
        <f ca="1">_xlfn.NORM.INV(RAND(),'Hoja 1'!$H$3,'Hoja 1'!$H$5)</f>
        <v>2.9907246267873572E-2</v>
      </c>
      <c r="C8" s="5">
        <f ca="1">_xlfn.NORM.INV(RAND(),'Hoja 1'!$H$3,'Hoja 1'!$H$5)</f>
        <v>-4.4436509754523554E-2</v>
      </c>
      <c r="D8" s="5">
        <f ca="1">_xlfn.NORM.INV(RAND(),'Hoja 1'!$H$3,'Hoja 1'!$H$5)</f>
        <v>-9.2681170013824317E-3</v>
      </c>
      <c r="E8" s="5">
        <f ca="1">_xlfn.NORM.INV(RAND(),'Hoja 1'!$H$3,'Hoja 1'!$H$5)</f>
        <v>-1.7655163767237168E-2</v>
      </c>
      <c r="F8" s="5">
        <f ca="1">_xlfn.NORM.INV(RAND(),'Hoja 1'!$H$3,'Hoja 1'!$H$5)</f>
        <v>4.6521692704184811E-2</v>
      </c>
    </row>
    <row r="9" spans="1:6" x14ac:dyDescent="0.2">
      <c r="A9" s="14">
        <v>45870</v>
      </c>
      <c r="B9" s="5">
        <f ca="1">_xlfn.NORM.INV(RAND(),'Hoja 1'!$H$3,'Hoja 1'!$H$5)</f>
        <v>0.12495879002080636</v>
      </c>
      <c r="C9" s="5">
        <f ca="1">_xlfn.NORM.INV(RAND(),'Hoja 1'!$H$3,'Hoja 1'!$H$5)</f>
        <v>2.4294987112474471E-2</v>
      </c>
      <c r="D9" s="5">
        <f ca="1">_xlfn.NORM.INV(RAND(),'Hoja 1'!$H$3,'Hoja 1'!$H$5)</f>
        <v>-4.9587668947165972E-2</v>
      </c>
      <c r="E9" s="5">
        <f ca="1">_xlfn.NORM.INV(RAND(),'Hoja 1'!$H$3,'Hoja 1'!$H$5)</f>
        <v>-6.8214956989629025E-2</v>
      </c>
      <c r="F9" s="5">
        <f ca="1">_xlfn.NORM.INV(RAND(),'Hoja 1'!$H$3,'Hoja 1'!$H$5)</f>
        <v>-5.0764379751509187E-2</v>
      </c>
    </row>
    <row r="10" spans="1:6" x14ac:dyDescent="0.2">
      <c r="A10" s="14">
        <v>45901</v>
      </c>
      <c r="B10" s="5">
        <f ca="1">_xlfn.NORM.INV(RAND(),'Hoja 1'!$H$3,'Hoja 1'!$H$5)</f>
        <v>-4.992017689382987E-3</v>
      </c>
      <c r="C10" s="5">
        <f ca="1">_xlfn.NORM.INV(RAND(),'Hoja 1'!$H$3,'Hoja 1'!$H$5)</f>
        <v>-5.0980105403906788E-2</v>
      </c>
      <c r="D10" s="5">
        <f ca="1">_xlfn.NORM.INV(RAND(),'Hoja 1'!$H$3,'Hoja 1'!$H$5)</f>
        <v>1.6785162243097774E-2</v>
      </c>
      <c r="E10" s="5">
        <f ca="1">_xlfn.NORM.INV(RAND(),'Hoja 1'!$H$3,'Hoja 1'!$H$5)</f>
        <v>6.0101305744070167E-2</v>
      </c>
      <c r="F10" s="5">
        <f ca="1">_xlfn.NORM.INV(RAND(),'Hoja 1'!$H$3,'Hoja 1'!$H$5)</f>
        <v>2.6820811239682489E-2</v>
      </c>
    </row>
    <row r="11" spans="1:6" x14ac:dyDescent="0.2">
      <c r="A11" s="14">
        <v>45931</v>
      </c>
      <c r="B11" s="5">
        <f ca="1">_xlfn.NORM.INV(RAND(),'Hoja 1'!$H$3,'Hoja 1'!$H$5)</f>
        <v>4.217242464078369E-2</v>
      </c>
      <c r="C11" s="5">
        <f ca="1">_xlfn.NORM.INV(RAND(),'Hoja 1'!$H$3,'Hoja 1'!$H$5)</f>
        <v>1.6317123732609404E-3</v>
      </c>
      <c r="D11" s="5">
        <f ca="1">_xlfn.NORM.INV(RAND(),'Hoja 1'!$H$3,'Hoja 1'!$H$5)</f>
        <v>1.4005746424473622E-2</v>
      </c>
      <c r="E11" s="5">
        <f ca="1">_xlfn.NORM.INV(RAND(),'Hoja 1'!$H$3,'Hoja 1'!$H$5)</f>
        <v>2.9882890530949287E-2</v>
      </c>
      <c r="F11" s="5">
        <f ca="1">_xlfn.NORM.INV(RAND(),'Hoja 1'!$H$3,'Hoja 1'!$H$5)</f>
        <v>-1.1060530062922541E-3</v>
      </c>
    </row>
    <row r="12" spans="1:6" x14ac:dyDescent="0.2">
      <c r="A12" s="14">
        <v>45962</v>
      </c>
      <c r="B12" s="5">
        <f ca="1">_xlfn.NORM.INV(RAND(),'Hoja 1'!$H$3,'Hoja 1'!$H$5)</f>
        <v>-8.065321405284924E-2</v>
      </c>
      <c r="C12" s="5">
        <f ca="1">_xlfn.NORM.INV(RAND(),'Hoja 1'!$H$3,'Hoja 1'!$H$5)</f>
        <v>5.0817145987089668E-2</v>
      </c>
      <c r="D12" s="5">
        <f ca="1">_xlfn.NORM.INV(RAND(),'Hoja 1'!$H$3,'Hoja 1'!$H$5)</f>
        <v>-3.9374233115215471E-2</v>
      </c>
      <c r="E12" s="5">
        <f ca="1">_xlfn.NORM.INV(RAND(),'Hoja 1'!$H$3,'Hoja 1'!$H$5)</f>
        <v>-5.7781137393559487E-2</v>
      </c>
      <c r="F12" s="5">
        <f ca="1">_xlfn.NORM.INV(RAND(),'Hoja 1'!$H$3,'Hoja 1'!$H$5)</f>
        <v>-7.6165649872021136E-3</v>
      </c>
    </row>
    <row r="13" spans="1:6" x14ac:dyDescent="0.2">
      <c r="A13" s="14">
        <v>45992</v>
      </c>
      <c r="B13" s="5">
        <f ca="1">_xlfn.NORM.INV(RAND(),'Hoja 1'!$H$3,'Hoja 1'!$H$5)</f>
        <v>1.8222286625285529E-2</v>
      </c>
      <c r="C13" s="5">
        <f ca="1">_xlfn.NORM.INV(RAND(),'Hoja 1'!$H$3,'Hoja 1'!$H$5)</f>
        <v>2.6002390409974398E-2</v>
      </c>
      <c r="D13" s="5">
        <f ca="1">_xlfn.NORM.INV(RAND(),'Hoja 1'!$H$3,'Hoja 1'!$H$5)</f>
        <v>-7.9813941940768234E-3</v>
      </c>
      <c r="E13" s="5">
        <f ca="1">_xlfn.NORM.INV(RAND(),'Hoja 1'!$H$3,'Hoja 1'!$H$5)</f>
        <v>-2.7985812697156356E-2</v>
      </c>
      <c r="F13" s="5">
        <f ca="1">_xlfn.NORM.INV(RAND(),'Hoja 1'!$H$3,'Hoja 1'!$H$5)</f>
        <v>-1.4511207993166714E-2</v>
      </c>
    </row>
    <row r="14" spans="1:6" x14ac:dyDescent="0.2">
      <c r="A14" s="14">
        <v>46023</v>
      </c>
      <c r="B14" s="5">
        <f ca="1">_xlfn.NORM.INV(RAND(),'Hoja 1'!$H$3,'Hoja 1'!$H$5)</f>
        <v>-5.5084790418092278E-2</v>
      </c>
      <c r="C14" s="5">
        <f ca="1">_xlfn.NORM.INV(RAND(),'Hoja 1'!$H$3,'Hoja 1'!$H$5)</f>
        <v>5.0676642274774244E-3</v>
      </c>
      <c r="D14" s="5">
        <f ca="1">_xlfn.NORM.INV(RAND(),'Hoja 1'!$H$3,'Hoja 1'!$H$5)</f>
        <v>6.3534622606135877E-2</v>
      </c>
      <c r="E14" s="5">
        <f ca="1">_xlfn.NORM.INV(RAND(),'Hoja 1'!$H$3,'Hoja 1'!$H$5)</f>
        <v>-1.7378844513174962E-2</v>
      </c>
      <c r="F14" s="5">
        <f ca="1">_xlfn.NORM.INV(RAND(),'Hoja 1'!$H$3,'Hoja 1'!$H$5)</f>
        <v>-2.2896708634191597E-2</v>
      </c>
    </row>
    <row r="15" spans="1:6" x14ac:dyDescent="0.2">
      <c r="A15" s="14">
        <v>46054</v>
      </c>
      <c r="B15" s="5">
        <f ca="1">_xlfn.NORM.INV(RAND(),'Hoja 1'!$H$3,'Hoja 1'!$H$5)</f>
        <v>-1.5740312911670711E-2</v>
      </c>
      <c r="C15" s="5">
        <f ca="1">_xlfn.NORM.INV(RAND(),'Hoja 1'!$H$3,'Hoja 1'!$H$5)</f>
        <v>1.2378769975034232E-2</v>
      </c>
      <c r="D15" s="5">
        <f ca="1">_xlfn.NORM.INV(RAND(),'Hoja 1'!$H$3,'Hoja 1'!$H$5)</f>
        <v>2.2755686690489767E-2</v>
      </c>
      <c r="E15" s="5">
        <f ca="1">_xlfn.NORM.INV(RAND(),'Hoja 1'!$H$3,'Hoja 1'!$H$5)</f>
        <v>-1.3138989815647265E-2</v>
      </c>
      <c r="F15" s="5">
        <f ca="1">_xlfn.NORM.INV(RAND(),'Hoja 1'!$H$3,'Hoja 1'!$H$5)</f>
        <v>9.449615908868006E-2</v>
      </c>
    </row>
    <row r="16" spans="1:6" x14ac:dyDescent="0.2">
      <c r="A16" s="14">
        <v>46082</v>
      </c>
      <c r="B16" s="5">
        <f ca="1">_xlfn.NORM.INV(RAND(),'Hoja 1'!$H$3,'Hoja 1'!$H$5)</f>
        <v>6.0159029437266691E-2</v>
      </c>
      <c r="C16" s="5">
        <f ca="1">_xlfn.NORM.INV(RAND(),'Hoja 1'!$H$3,'Hoja 1'!$H$5)</f>
        <v>4.8557239235781837E-3</v>
      </c>
      <c r="D16" s="5">
        <f ca="1">_xlfn.NORM.INV(RAND(),'Hoja 1'!$H$3,'Hoja 1'!$H$5)</f>
        <v>-6.925895361519485E-3</v>
      </c>
      <c r="E16" s="5">
        <f ca="1">_xlfn.NORM.INV(RAND(),'Hoja 1'!$H$3,'Hoja 1'!$H$5)</f>
        <v>-2.2212578161823721E-2</v>
      </c>
      <c r="F16" s="5">
        <f ca="1">_xlfn.NORM.INV(RAND(),'Hoja 1'!$H$3,'Hoja 1'!$H$5)</f>
        <v>2.964302054696074E-2</v>
      </c>
    </row>
    <row r="17" spans="1:6" x14ac:dyDescent="0.2">
      <c r="A17" s="14">
        <v>46113</v>
      </c>
      <c r="B17" s="5">
        <f ca="1">_xlfn.NORM.INV(RAND(),'Hoja 1'!$H$3,'Hoja 1'!$H$5)</f>
        <v>4.6903604428902824E-2</v>
      </c>
      <c r="C17" s="5">
        <f ca="1">_xlfn.NORM.INV(RAND(),'Hoja 1'!$H$3,'Hoja 1'!$H$5)</f>
        <v>-5.1784616781108544E-2</v>
      </c>
      <c r="D17" s="5">
        <f ca="1">_xlfn.NORM.INV(RAND(),'Hoja 1'!$H$3,'Hoja 1'!$H$5)</f>
        <v>-6.6553548048685449E-2</v>
      </c>
      <c r="E17" s="5">
        <f ca="1">_xlfn.NORM.INV(RAND(),'Hoja 1'!$H$3,'Hoja 1'!$H$5)</f>
        <v>-9.2791836276912162E-2</v>
      </c>
      <c r="F17" s="5">
        <f ca="1">_xlfn.NORM.INV(RAND(),'Hoja 1'!$H$3,'Hoja 1'!$H$5)</f>
        <v>2.6126245479581658E-2</v>
      </c>
    </row>
    <row r="18" spans="1:6" x14ac:dyDescent="0.2">
      <c r="A18" s="14">
        <v>46143</v>
      </c>
      <c r="B18" s="5">
        <f ca="1">_xlfn.NORM.INV(RAND(),'Hoja 1'!$H$3,'Hoja 1'!$H$5)</f>
        <v>-3.5629310243743056E-3</v>
      </c>
      <c r="C18" s="5">
        <f ca="1">_xlfn.NORM.INV(RAND(),'Hoja 1'!$H$3,'Hoja 1'!$H$5)</f>
        <v>-2.8711943960354817E-2</v>
      </c>
      <c r="D18" s="5">
        <f ca="1">_xlfn.NORM.INV(RAND(),'Hoja 1'!$H$3,'Hoja 1'!$H$5)</f>
        <v>6.70485062635808E-3</v>
      </c>
      <c r="E18" s="5">
        <f ca="1">_xlfn.NORM.INV(RAND(),'Hoja 1'!$H$3,'Hoja 1'!$H$5)</f>
        <v>5.6129687808731288E-2</v>
      </c>
      <c r="F18" s="5">
        <f ca="1">_xlfn.NORM.INV(RAND(),'Hoja 1'!$H$3,'Hoja 1'!$H$5)</f>
        <v>5.8693777632264355E-2</v>
      </c>
    </row>
    <row r="19" spans="1:6" x14ac:dyDescent="0.2">
      <c r="A19" s="14">
        <v>46174</v>
      </c>
      <c r="B19" s="5">
        <f ca="1">_xlfn.NORM.INV(RAND(),'Hoja 1'!$H$3,'Hoja 1'!$H$5)</f>
        <v>7.4083181012107244E-2</v>
      </c>
      <c r="C19" s="5">
        <f ca="1">_xlfn.NORM.INV(RAND(),'Hoja 1'!$H$3,'Hoja 1'!$H$5)</f>
        <v>3.4184497406760807E-2</v>
      </c>
      <c r="D19" s="5">
        <f ca="1">_xlfn.NORM.INV(RAND(),'Hoja 1'!$H$3,'Hoja 1'!$H$5)</f>
        <v>2.5959405350434839E-2</v>
      </c>
      <c r="E19" s="5">
        <f ca="1">_xlfn.NORM.INV(RAND(),'Hoja 1'!$H$3,'Hoja 1'!$H$5)</f>
        <v>5.4327264079120106E-2</v>
      </c>
      <c r="F19" s="5">
        <f ca="1">_xlfn.NORM.INV(RAND(),'Hoja 1'!$H$3,'Hoja 1'!$H$5)</f>
        <v>1.3843504302134411E-2</v>
      </c>
    </row>
    <row r="20" spans="1:6" x14ac:dyDescent="0.2">
      <c r="A20" s="14">
        <v>46204</v>
      </c>
      <c r="B20" s="5">
        <f ca="1">_xlfn.NORM.INV(RAND(),'Hoja 1'!$H$3,'Hoja 1'!$H$5)</f>
        <v>3.7900815957655201E-3</v>
      </c>
      <c r="C20" s="5">
        <f ca="1">_xlfn.NORM.INV(RAND(),'Hoja 1'!$H$3,'Hoja 1'!$H$5)</f>
        <v>-0.11970713121863358</v>
      </c>
      <c r="D20" s="5">
        <f ca="1">_xlfn.NORM.INV(RAND(),'Hoja 1'!$H$3,'Hoja 1'!$H$5)</f>
        <v>-6.8605130175609985E-2</v>
      </c>
      <c r="E20" s="5">
        <f ca="1">_xlfn.NORM.INV(RAND(),'Hoja 1'!$H$3,'Hoja 1'!$H$5)</f>
        <v>1.1489101701695295E-2</v>
      </c>
      <c r="F20" s="5">
        <f ca="1">_xlfn.NORM.INV(RAND(),'Hoja 1'!$H$3,'Hoja 1'!$H$5)</f>
        <v>5.5949510840969177E-2</v>
      </c>
    </row>
    <row r="21" spans="1:6" x14ac:dyDescent="0.2">
      <c r="A21" s="14">
        <v>46235</v>
      </c>
      <c r="B21" s="5">
        <f ca="1">_xlfn.NORM.INV(RAND(),'Hoja 1'!$H$3,'Hoja 1'!$H$5)</f>
        <v>3.9597847435035839E-2</v>
      </c>
      <c r="C21" s="5">
        <f ca="1">_xlfn.NORM.INV(RAND(),'Hoja 1'!$H$3,'Hoja 1'!$H$5)</f>
        <v>1.4107187316649981E-2</v>
      </c>
      <c r="D21" s="5">
        <f ca="1">_xlfn.NORM.INV(RAND(),'Hoja 1'!$H$3,'Hoja 1'!$H$5)</f>
        <v>-9.8525696961957843E-2</v>
      </c>
      <c r="E21" s="5">
        <f ca="1">_xlfn.NORM.INV(RAND(),'Hoja 1'!$H$3,'Hoja 1'!$H$5)</f>
        <v>-2.5298246534774235E-2</v>
      </c>
      <c r="F21" s="5">
        <f ca="1">_xlfn.NORM.INV(RAND(),'Hoja 1'!$H$3,'Hoja 1'!$H$5)</f>
        <v>1.8860584695775166E-2</v>
      </c>
    </row>
    <row r="22" spans="1:6" x14ac:dyDescent="0.2">
      <c r="A22" s="14">
        <v>46266</v>
      </c>
      <c r="B22" s="5">
        <f ca="1">_xlfn.NORM.INV(RAND(),'Hoja 1'!$H$3,'Hoja 1'!$H$5)</f>
        <v>8.2191070623208115E-2</v>
      </c>
      <c r="C22" s="5">
        <f ca="1">_xlfn.NORM.INV(RAND(),'Hoja 1'!$H$3,'Hoja 1'!$H$5)</f>
        <v>7.0062943836067218E-2</v>
      </c>
      <c r="D22" s="5">
        <f ca="1">_xlfn.NORM.INV(RAND(),'Hoja 1'!$H$3,'Hoja 1'!$H$5)</f>
        <v>-2.3830885322591037E-2</v>
      </c>
      <c r="E22" s="5">
        <f ca="1">_xlfn.NORM.INV(RAND(),'Hoja 1'!$H$3,'Hoja 1'!$H$5)</f>
        <v>-2.3253481071781067E-2</v>
      </c>
      <c r="F22" s="5">
        <f ca="1">_xlfn.NORM.INV(RAND(),'Hoja 1'!$H$3,'Hoja 1'!$H$5)</f>
        <v>3.3679085228135106E-2</v>
      </c>
    </row>
    <row r="23" spans="1:6" x14ac:dyDescent="0.2">
      <c r="A23" s="14">
        <v>46296</v>
      </c>
      <c r="B23" s="5">
        <f ca="1">_xlfn.NORM.INV(RAND(),'Hoja 1'!$H$3,'Hoja 1'!$H$5)</f>
        <v>5.3801319795352243E-2</v>
      </c>
      <c r="C23" s="5">
        <f ca="1">_xlfn.NORM.INV(RAND(),'Hoja 1'!$H$3,'Hoja 1'!$H$5)</f>
        <v>-2.2103320756008144E-2</v>
      </c>
      <c r="D23" s="5">
        <f ca="1">_xlfn.NORM.INV(RAND(),'Hoja 1'!$H$3,'Hoja 1'!$H$5)</f>
        <v>0.11089438391656233</v>
      </c>
      <c r="E23" s="5">
        <f ca="1">_xlfn.NORM.INV(RAND(),'Hoja 1'!$H$3,'Hoja 1'!$H$5)</f>
        <v>-6.3832927525465127E-2</v>
      </c>
      <c r="F23" s="5">
        <f ca="1">_xlfn.NORM.INV(RAND(),'Hoja 1'!$H$3,'Hoja 1'!$H$5)</f>
        <v>6.6489420767952542E-2</v>
      </c>
    </row>
    <row r="24" spans="1:6" x14ac:dyDescent="0.2">
      <c r="A24" s="14">
        <v>46327</v>
      </c>
      <c r="B24" s="5">
        <f ca="1">_xlfn.NORM.INV(RAND(),'Hoja 1'!$H$3,'Hoja 1'!$H$5)</f>
        <v>7.8194471500923953E-3</v>
      </c>
      <c r="C24" s="5">
        <f ca="1">_xlfn.NORM.INV(RAND(),'Hoja 1'!$H$3,'Hoja 1'!$H$5)</f>
        <v>3.1741902724387455E-2</v>
      </c>
      <c r="D24" s="5">
        <f ca="1">_xlfn.NORM.INV(RAND(),'Hoja 1'!$H$3,'Hoja 1'!$H$5)</f>
        <v>-3.9518209035289832E-2</v>
      </c>
      <c r="E24" s="5">
        <f ca="1">_xlfn.NORM.INV(RAND(),'Hoja 1'!$H$3,'Hoja 1'!$H$5)</f>
        <v>2.1012911753217414E-2</v>
      </c>
      <c r="F24" s="5">
        <f ca="1">_xlfn.NORM.INV(RAND(),'Hoja 1'!$H$3,'Hoja 1'!$H$5)</f>
        <v>5.8648531059900533E-2</v>
      </c>
    </row>
    <row r="25" spans="1:6" x14ac:dyDescent="0.2">
      <c r="A25" s="14">
        <v>46357</v>
      </c>
      <c r="B25" s="5">
        <f ca="1">_xlfn.NORM.INV(RAND(),'Hoja 1'!$H$3,'Hoja 1'!$H$5)</f>
        <v>1.1629986901717787E-2</v>
      </c>
      <c r="C25" s="5">
        <f ca="1">_xlfn.NORM.INV(RAND(),'Hoja 1'!$H$3,'Hoja 1'!$H$5)</f>
        <v>4.2639589718454135E-2</v>
      </c>
      <c r="D25" s="5">
        <f ca="1">_xlfn.NORM.INV(RAND(),'Hoja 1'!$H$3,'Hoja 1'!$H$5)</f>
        <v>-6.4467715857450772E-2</v>
      </c>
      <c r="E25" s="5">
        <f ca="1">_xlfn.NORM.INV(RAND(),'Hoja 1'!$H$3,'Hoja 1'!$H$5)</f>
        <v>-9.5816716999413951E-2</v>
      </c>
      <c r="F25" s="5">
        <f ca="1">_xlfn.NORM.INV(RAND(),'Hoja 1'!$H$3,'Hoja 1'!$H$5)</f>
        <v>0.11821386420869184</v>
      </c>
    </row>
    <row r="26" spans="1:6" x14ac:dyDescent="0.2">
      <c r="A26" s="14">
        <v>46388</v>
      </c>
      <c r="B26" s="5">
        <f ca="1">_xlfn.NORM.INV(RAND(),'Hoja 1'!$H$3,'Hoja 1'!$H$5)</f>
        <v>-5.0350585666542415E-2</v>
      </c>
      <c r="C26" s="5">
        <f ca="1">_xlfn.NORM.INV(RAND(),'Hoja 1'!$H$3,'Hoja 1'!$H$5)</f>
        <v>9.4000617440290375E-3</v>
      </c>
      <c r="D26" s="5">
        <f ca="1">_xlfn.NORM.INV(RAND(),'Hoja 1'!$H$3,'Hoja 1'!$H$5)</f>
        <v>2.1737875491229335E-2</v>
      </c>
      <c r="E26" s="5">
        <f ca="1">_xlfn.NORM.INV(RAND(),'Hoja 1'!$H$3,'Hoja 1'!$H$5)</f>
        <v>9.5028543524945663E-2</v>
      </c>
      <c r="F26" s="5">
        <f ca="1">_xlfn.NORM.INV(RAND(),'Hoja 1'!$H$3,'Hoja 1'!$H$5)</f>
        <v>-1.5190467826837972E-2</v>
      </c>
    </row>
    <row r="27" spans="1:6" x14ac:dyDescent="0.2">
      <c r="A27" s="14">
        <v>46419</v>
      </c>
      <c r="B27" s="5">
        <f ca="1">_xlfn.NORM.INV(RAND(),'Hoja 1'!$H$3,'Hoja 1'!$H$5)</f>
        <v>-6.7712144212837E-2</v>
      </c>
      <c r="C27" s="5">
        <f ca="1">_xlfn.NORM.INV(RAND(),'Hoja 1'!$H$3,'Hoja 1'!$H$5)</f>
        <v>-7.5145627227266448E-2</v>
      </c>
      <c r="D27" s="5">
        <f ca="1">_xlfn.NORM.INV(RAND(),'Hoja 1'!$H$3,'Hoja 1'!$H$5)</f>
        <v>-1.7809881605223326E-2</v>
      </c>
      <c r="E27" s="5">
        <f ca="1">_xlfn.NORM.INV(RAND(),'Hoja 1'!$H$3,'Hoja 1'!$H$5)</f>
        <v>9.088815403285827E-2</v>
      </c>
      <c r="F27" s="5">
        <f ca="1">_xlfn.NORM.INV(RAND(),'Hoja 1'!$H$3,'Hoja 1'!$H$5)</f>
        <v>8.7892626648293296E-3</v>
      </c>
    </row>
    <row r="28" spans="1:6" x14ac:dyDescent="0.2">
      <c r="A28" s="14">
        <v>46447</v>
      </c>
      <c r="B28" s="5">
        <f ca="1">_xlfn.NORM.INV(RAND(),'Hoja 1'!$H$3,'Hoja 1'!$H$5)</f>
        <v>4.2063897309796483E-2</v>
      </c>
      <c r="C28" s="5">
        <f ca="1">_xlfn.NORM.INV(RAND(),'Hoja 1'!$H$3,'Hoja 1'!$H$5)</f>
        <v>5.039974850710336E-2</v>
      </c>
      <c r="D28" s="5">
        <f ca="1">_xlfn.NORM.INV(RAND(),'Hoja 1'!$H$3,'Hoja 1'!$H$5)</f>
        <v>7.1129375177076473E-2</v>
      </c>
      <c r="E28" s="5">
        <f ca="1">_xlfn.NORM.INV(RAND(),'Hoja 1'!$H$3,'Hoja 1'!$H$5)</f>
        <v>-4.6969719444221866E-3</v>
      </c>
      <c r="F28" s="5">
        <f ca="1">_xlfn.NORM.INV(RAND(),'Hoja 1'!$H$3,'Hoja 1'!$H$5)</f>
        <v>1.6755219904183147E-2</v>
      </c>
    </row>
    <row r="29" spans="1:6" x14ac:dyDescent="0.2">
      <c r="A29" s="14">
        <v>46478</v>
      </c>
      <c r="B29" s="5">
        <f ca="1">_xlfn.NORM.INV(RAND(),'Hoja 1'!$H$3,'Hoja 1'!$H$5)</f>
        <v>4.9060153398536102E-2</v>
      </c>
      <c r="C29" s="5">
        <f ca="1">_xlfn.NORM.INV(RAND(),'Hoja 1'!$H$3,'Hoja 1'!$H$5)</f>
        <v>-7.3676040058005113E-2</v>
      </c>
      <c r="D29" s="5">
        <f ca="1">_xlfn.NORM.INV(RAND(),'Hoja 1'!$H$3,'Hoja 1'!$H$5)</f>
        <v>5.5668836760212663E-2</v>
      </c>
      <c r="E29" s="5">
        <f ca="1">_xlfn.NORM.INV(RAND(),'Hoja 1'!$H$3,'Hoja 1'!$H$5)</f>
        <v>-2.8326557361565811E-2</v>
      </c>
      <c r="F29" s="5">
        <f ca="1">_xlfn.NORM.INV(RAND(),'Hoja 1'!$H$3,'Hoja 1'!$H$5)</f>
        <v>4.4765870441915136E-2</v>
      </c>
    </row>
    <row r="30" spans="1:6" x14ac:dyDescent="0.2">
      <c r="A30" s="14">
        <v>46508</v>
      </c>
      <c r="B30" s="5">
        <f ca="1">_xlfn.NORM.INV(RAND(),'Hoja 1'!$H$3,'Hoja 1'!$H$5)</f>
        <v>-8.7398827035556403E-2</v>
      </c>
      <c r="C30" s="5">
        <f ca="1">_xlfn.NORM.INV(RAND(),'Hoja 1'!$H$3,'Hoja 1'!$H$5)</f>
        <v>8.494395033028455E-3</v>
      </c>
      <c r="D30" s="5">
        <f ca="1">_xlfn.NORM.INV(RAND(),'Hoja 1'!$H$3,'Hoja 1'!$H$5)</f>
        <v>-8.656065084176625E-3</v>
      </c>
      <c r="E30" s="5">
        <f ca="1">_xlfn.NORM.INV(RAND(),'Hoja 1'!$H$3,'Hoja 1'!$H$5)</f>
        <v>-6.1925101112081132E-2</v>
      </c>
      <c r="F30" s="5">
        <f ca="1">_xlfn.NORM.INV(RAND(),'Hoja 1'!$H$3,'Hoja 1'!$H$5)</f>
        <v>-8.8045680926602504E-2</v>
      </c>
    </row>
    <row r="31" spans="1:6" x14ac:dyDescent="0.2">
      <c r="A31" s="14">
        <v>46539</v>
      </c>
      <c r="B31" s="5">
        <f ca="1">_xlfn.NORM.INV(RAND(),'Hoja 1'!$H$3,'Hoja 1'!$H$5)</f>
        <v>-4.7432205630032814E-3</v>
      </c>
      <c r="C31" s="5">
        <f ca="1">_xlfn.NORM.INV(RAND(),'Hoja 1'!$H$3,'Hoja 1'!$H$5)</f>
        <v>-5.0748843762302515E-2</v>
      </c>
      <c r="D31" s="5">
        <f ca="1">_xlfn.NORM.INV(RAND(),'Hoja 1'!$H$3,'Hoja 1'!$H$5)</f>
        <v>2.6820439825597522E-2</v>
      </c>
      <c r="E31" s="5">
        <f ca="1">_xlfn.NORM.INV(RAND(),'Hoja 1'!$H$3,'Hoja 1'!$H$5)</f>
        <v>-5.3414384025342321E-2</v>
      </c>
      <c r="F31" s="5">
        <f ca="1">_xlfn.NORM.INV(RAND(),'Hoja 1'!$H$3,'Hoja 1'!$H$5)</f>
        <v>-1.9206141290548245E-2</v>
      </c>
    </row>
    <row r="32" spans="1:6" x14ac:dyDescent="0.2">
      <c r="A32" s="14">
        <v>46569</v>
      </c>
      <c r="B32" s="5">
        <f ca="1">_xlfn.NORM.INV(RAND(),'Hoja 1'!$H$3,'Hoja 1'!$H$5)</f>
        <v>-5.9788150447629791E-3</v>
      </c>
      <c r="C32" s="5">
        <f ca="1">_xlfn.NORM.INV(RAND(),'Hoja 1'!$H$3,'Hoja 1'!$H$5)</f>
        <v>-9.17328721466373E-3</v>
      </c>
      <c r="D32" s="5">
        <f ca="1">_xlfn.NORM.INV(RAND(),'Hoja 1'!$H$3,'Hoja 1'!$H$5)</f>
        <v>-3.4729428277391082E-2</v>
      </c>
      <c r="E32" s="5">
        <f ca="1">_xlfn.NORM.INV(RAND(),'Hoja 1'!$H$3,'Hoja 1'!$H$5)</f>
        <v>9.9947559768377034E-2</v>
      </c>
      <c r="F32" s="5">
        <f ca="1">_xlfn.NORM.INV(RAND(),'Hoja 1'!$H$3,'Hoja 1'!$H$5)</f>
        <v>4.1689994938090648E-2</v>
      </c>
    </row>
    <row r="33" spans="1:6" x14ac:dyDescent="0.2">
      <c r="A33" s="14">
        <v>46600</v>
      </c>
      <c r="B33" s="5">
        <f ca="1">_xlfn.NORM.INV(RAND(),'Hoja 1'!$H$3,'Hoja 1'!$H$5)</f>
        <v>-9.5783866125958836E-2</v>
      </c>
      <c r="C33" s="5">
        <f ca="1">_xlfn.NORM.INV(RAND(),'Hoja 1'!$H$3,'Hoja 1'!$H$5)</f>
        <v>5.4673437367370216E-2</v>
      </c>
      <c r="D33" s="5">
        <f ca="1">_xlfn.NORM.INV(RAND(),'Hoja 1'!$H$3,'Hoja 1'!$H$5)</f>
        <v>-3.4980487022179943E-2</v>
      </c>
      <c r="E33" s="5">
        <f ca="1">_xlfn.NORM.INV(RAND(),'Hoja 1'!$H$3,'Hoja 1'!$H$5)</f>
        <v>1.462622606823874E-2</v>
      </c>
      <c r="F33" s="5">
        <f ca="1">_xlfn.NORM.INV(RAND(),'Hoja 1'!$H$3,'Hoja 1'!$H$5)</f>
        <v>-2.5114441919696352E-2</v>
      </c>
    </row>
    <row r="34" spans="1:6" x14ac:dyDescent="0.2">
      <c r="A34" s="14">
        <v>46631</v>
      </c>
      <c r="B34" s="5">
        <f ca="1">_xlfn.NORM.INV(RAND(),'Hoja 1'!$H$3,'Hoja 1'!$H$5)</f>
        <v>-3.0071663301848789E-3</v>
      </c>
      <c r="C34" s="5">
        <f ca="1">_xlfn.NORM.INV(RAND(),'Hoja 1'!$H$3,'Hoja 1'!$H$5)</f>
        <v>3.5233896441603961E-3</v>
      </c>
      <c r="D34" s="5">
        <f ca="1">_xlfn.NORM.INV(RAND(),'Hoja 1'!$H$3,'Hoja 1'!$H$5)</f>
        <v>-9.1262338401414192E-3</v>
      </c>
      <c r="E34" s="5">
        <f ca="1">_xlfn.NORM.INV(RAND(),'Hoja 1'!$H$3,'Hoja 1'!$H$5)</f>
        <v>-3.9893363777717067E-3</v>
      </c>
      <c r="F34" s="5">
        <f ca="1">_xlfn.NORM.INV(RAND(),'Hoja 1'!$H$3,'Hoja 1'!$H$5)</f>
        <v>1.7708445445241246E-2</v>
      </c>
    </row>
    <row r="35" spans="1:6" x14ac:dyDescent="0.2">
      <c r="A35" s="14">
        <v>46661</v>
      </c>
      <c r="B35" s="5">
        <f ca="1">_xlfn.NORM.INV(RAND(),'Hoja 1'!$H$3,'Hoja 1'!$H$5)</f>
        <v>-7.1194045364462194E-2</v>
      </c>
      <c r="C35" s="5">
        <f ca="1">_xlfn.NORM.INV(RAND(),'Hoja 1'!$H$3,'Hoja 1'!$H$5)</f>
        <v>1.520978969254607E-2</v>
      </c>
      <c r="D35" s="5">
        <f ca="1">_xlfn.NORM.INV(RAND(),'Hoja 1'!$H$3,'Hoja 1'!$H$5)</f>
        <v>-2.5841811854292514E-2</v>
      </c>
      <c r="E35" s="5">
        <f ca="1">_xlfn.NORM.INV(RAND(),'Hoja 1'!$H$3,'Hoja 1'!$H$5)</f>
        <v>-1.7315738051593088E-2</v>
      </c>
      <c r="F35" s="5">
        <f ca="1">_xlfn.NORM.INV(RAND(),'Hoja 1'!$H$3,'Hoja 1'!$H$5)</f>
        <v>1.5235262787083134E-2</v>
      </c>
    </row>
    <row r="36" spans="1:6" x14ac:dyDescent="0.2">
      <c r="A36" s="14">
        <v>46692</v>
      </c>
      <c r="B36" s="5">
        <f ca="1">_xlfn.NORM.INV(RAND(),'Hoja 1'!$H$3,'Hoja 1'!$H$5)</f>
        <v>3.259839727145248E-2</v>
      </c>
      <c r="C36" s="5">
        <f ca="1">_xlfn.NORM.INV(RAND(),'Hoja 1'!$H$3,'Hoja 1'!$H$5)</f>
        <v>3.7349866847086799E-2</v>
      </c>
      <c r="D36" s="5">
        <f ca="1">_xlfn.NORM.INV(RAND(),'Hoja 1'!$H$3,'Hoja 1'!$H$5)</f>
        <v>-1.0368694651753732E-2</v>
      </c>
      <c r="E36" s="5">
        <f ca="1">_xlfn.NORM.INV(RAND(),'Hoja 1'!$H$3,'Hoja 1'!$H$5)</f>
        <v>-3.4221599882897434E-2</v>
      </c>
      <c r="F36" s="5">
        <f ca="1">_xlfn.NORM.INV(RAND(),'Hoja 1'!$H$3,'Hoja 1'!$H$5)</f>
        <v>-7.1672256132805257E-2</v>
      </c>
    </row>
    <row r="37" spans="1:6" x14ac:dyDescent="0.2">
      <c r="A37" s="14">
        <v>46722</v>
      </c>
      <c r="B37" s="5">
        <f ca="1">_xlfn.NORM.INV(RAND(),'Hoja 1'!$H$3,'Hoja 1'!$H$5)</f>
        <v>5.4346670469354028E-2</v>
      </c>
      <c r="C37" s="5">
        <f ca="1">_xlfn.NORM.INV(RAND(),'Hoja 1'!$H$3,'Hoja 1'!$H$5)</f>
        <v>-5.3988639231671152E-2</v>
      </c>
      <c r="D37" s="5">
        <f ca="1">_xlfn.NORM.INV(RAND(),'Hoja 1'!$H$3,'Hoja 1'!$H$5)</f>
        <v>-5.2747574935340019E-2</v>
      </c>
      <c r="E37" s="5">
        <f ca="1">_xlfn.NORM.INV(RAND(),'Hoja 1'!$H$3,'Hoja 1'!$H$5)</f>
        <v>-5.5707348293546441E-2</v>
      </c>
      <c r="F37" s="5">
        <f ca="1">_xlfn.NORM.INV(RAND(),'Hoja 1'!$H$3,'Hoja 1'!$H$5)</f>
        <v>-5.0758059036268392E-2</v>
      </c>
    </row>
    <row r="38" spans="1:6" x14ac:dyDescent="0.2">
      <c r="A38" s="14">
        <v>46753</v>
      </c>
      <c r="B38" s="5">
        <f ca="1">_xlfn.NORM.INV(RAND(),'Hoja 1'!$H$3,'Hoja 1'!$H$5)</f>
        <v>2.9516167032473284E-2</v>
      </c>
      <c r="C38" s="5">
        <f ca="1">_xlfn.NORM.INV(RAND(),'Hoja 1'!$H$3,'Hoja 1'!$H$5)</f>
        <v>-7.0277037796704833E-3</v>
      </c>
      <c r="D38" s="5">
        <f ca="1">_xlfn.NORM.INV(RAND(),'Hoja 1'!$H$3,'Hoja 1'!$H$5)</f>
        <v>2.4188616095784959E-2</v>
      </c>
      <c r="E38" s="5">
        <f ca="1">_xlfn.NORM.INV(RAND(),'Hoja 1'!$H$3,'Hoja 1'!$H$5)</f>
        <v>-3.3376060935857023E-2</v>
      </c>
      <c r="F38" s="5">
        <f ca="1">_xlfn.NORM.INV(RAND(),'Hoja 1'!$H$3,'Hoja 1'!$H$5)</f>
        <v>-1.1537578888737035E-2</v>
      </c>
    </row>
    <row r="39" spans="1:6" x14ac:dyDescent="0.2">
      <c r="A39" s="14">
        <v>46784</v>
      </c>
      <c r="B39" s="5">
        <f ca="1">_xlfn.NORM.INV(RAND(),'Hoja 1'!$H$3,'Hoja 1'!$H$5)</f>
        <v>5.8339386529871612E-2</v>
      </c>
      <c r="C39" s="5">
        <f ca="1">_xlfn.NORM.INV(RAND(),'Hoja 1'!$H$3,'Hoja 1'!$H$5)</f>
        <v>-2.0026328776397279E-2</v>
      </c>
      <c r="D39" s="5">
        <f ca="1">_xlfn.NORM.INV(RAND(),'Hoja 1'!$H$3,'Hoja 1'!$H$5)</f>
        <v>-3.1296322905439204E-2</v>
      </c>
      <c r="E39" s="5">
        <f ca="1">_xlfn.NORM.INV(RAND(),'Hoja 1'!$H$3,'Hoja 1'!$H$5)</f>
        <v>2.7102619826766008E-2</v>
      </c>
      <c r="F39" s="5">
        <f ca="1">_xlfn.NORM.INV(RAND(),'Hoja 1'!$H$3,'Hoja 1'!$H$5)</f>
        <v>2.8583725871357536E-2</v>
      </c>
    </row>
    <row r="40" spans="1:6" x14ac:dyDescent="0.2">
      <c r="A40" s="14">
        <v>46813</v>
      </c>
      <c r="B40" s="5">
        <f ca="1">_xlfn.NORM.INV(RAND(),'Hoja 1'!$H$3,'Hoja 1'!$H$5)</f>
        <v>-0.12001427009166582</v>
      </c>
      <c r="C40" s="5">
        <f ca="1">_xlfn.NORM.INV(RAND(),'Hoja 1'!$H$3,'Hoja 1'!$H$5)</f>
        <v>-7.4635417669540474E-2</v>
      </c>
      <c r="D40" s="5">
        <f ca="1">_xlfn.NORM.INV(RAND(),'Hoja 1'!$H$3,'Hoja 1'!$H$5)</f>
        <v>-8.091573359056857E-2</v>
      </c>
      <c r="E40" s="5">
        <f ca="1">_xlfn.NORM.INV(RAND(),'Hoja 1'!$H$3,'Hoja 1'!$H$5)</f>
        <v>-1.2922213322180631E-2</v>
      </c>
      <c r="F40" s="5">
        <f ca="1">_xlfn.NORM.INV(RAND(),'Hoja 1'!$H$3,'Hoja 1'!$H$5)</f>
        <v>7.9947189486604661E-2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3934-6602-074C-B341-327295F652AD}">
  <dimension ref="B2:D27"/>
  <sheetViews>
    <sheetView workbookViewId="0">
      <selection activeCell="E2" sqref="E2"/>
    </sheetView>
  </sheetViews>
  <sheetFormatPr baseColWidth="10" defaultRowHeight="15" x14ac:dyDescent="0.2"/>
  <cols>
    <col min="2" max="2" width="23.5" customWidth="1"/>
  </cols>
  <sheetData>
    <row r="2" spans="2:4" ht="34" x14ac:dyDescent="0.2">
      <c r="C2" s="9" t="s">
        <v>7</v>
      </c>
      <c r="D2" s="9" t="s">
        <v>8</v>
      </c>
    </row>
    <row r="3" spans="2:4" x14ac:dyDescent="0.2">
      <c r="B3" s="5">
        <v>2010</v>
      </c>
      <c r="C3" s="8">
        <f>+PRODUCT('Hoja 1'!D5:D15)-1</f>
        <v>0.29366808787700549</v>
      </c>
      <c r="D3" s="8">
        <f>SUM('Hoja 1'!E5:E15)</f>
        <v>0.25748166230888775</v>
      </c>
    </row>
    <row r="4" spans="2:4" x14ac:dyDescent="0.2">
      <c r="B4" s="5">
        <v>2011</v>
      </c>
      <c r="C4" s="8">
        <f>PRODUCT('Hoja 1'!D16:D27)-1</f>
        <v>-0.15220607484885929</v>
      </c>
      <c r="D4" s="8">
        <f>SUM('Hoja 1'!E16:E27)</f>
        <v>-0.16511768551609365</v>
      </c>
    </row>
    <row r="5" spans="2:4" x14ac:dyDescent="0.2">
      <c r="B5" s="5">
        <v>2012</v>
      </c>
      <c r="C5" s="8">
        <f>PRODUCT('Hoja 1'!D28:D39)-1</f>
        <v>2.9646705110436544E-2</v>
      </c>
      <c r="D5" s="8">
        <f>SUM('Hoja 1'!E28:E39)</f>
        <v>2.9215738654811862E-2</v>
      </c>
    </row>
    <row r="6" spans="2:4" x14ac:dyDescent="0.2">
      <c r="B6" s="5">
        <v>2013</v>
      </c>
      <c r="C6" s="8">
        <f>PRODUCT('Hoja 1'!D40:D51)-1</f>
        <v>-0.13999925605270891</v>
      </c>
      <c r="D6" s="8">
        <f>SUM('Hoja 1'!E40:E51)</f>
        <v>-0.15082202467996811</v>
      </c>
    </row>
    <row r="7" spans="2:4" x14ac:dyDescent="0.2">
      <c r="B7" s="5">
        <v>2014</v>
      </c>
      <c r="C7" s="8">
        <f>PRODUCT('Hoja 1'!D52:D63)-1</f>
        <v>4.1027900702585995E-2</v>
      </c>
      <c r="D7" s="8">
        <f>SUM('Hoja 1'!E52:E63)</f>
        <v>4.0208591101321814E-2</v>
      </c>
    </row>
    <row r="8" spans="2:4" x14ac:dyDescent="0.2">
      <c r="B8" s="5">
        <v>2015</v>
      </c>
      <c r="C8" s="8">
        <f>PRODUCT('Hoja 1'!D64:D75)-1</f>
        <v>-4.4339593244282272E-2</v>
      </c>
      <c r="D8" s="8">
        <f>SUM('Hoja 1'!E64:E75)</f>
        <v>-4.5352652096264136E-2</v>
      </c>
    </row>
    <row r="9" spans="2:4" x14ac:dyDescent="0.2">
      <c r="B9" s="5">
        <v>2016</v>
      </c>
      <c r="C9" s="8">
        <f>PRODUCT('Hoja 1'!D76:D87)-1</f>
        <v>0.12803073737640025</v>
      </c>
      <c r="D9" s="8">
        <f>SUM('Hoja 1'!E76:E87)</f>
        <v>0.12047340215177099</v>
      </c>
    </row>
    <row r="10" spans="2:4" x14ac:dyDescent="0.2">
      <c r="B10" s="5">
        <v>2017</v>
      </c>
      <c r="C10" s="8">
        <f>PRODUCT('Hoja 1'!D88:D99)-1</f>
        <v>0.34041851042662796</v>
      </c>
      <c r="D10" s="8">
        <f>SUM('Hoja 1'!E88:E99)</f>
        <v>0.29298188641460388</v>
      </c>
    </row>
    <row r="11" spans="2:4" x14ac:dyDescent="0.2">
      <c r="B11" s="5">
        <v>2018</v>
      </c>
      <c r="C11" s="8">
        <f>PRODUCT('Hoja 1'!D100:D111)-1</f>
        <v>-8.2516263522984801E-2</v>
      </c>
      <c r="D11" s="8">
        <f>SUM('Hoja 1'!E100:E111)</f>
        <v>-8.6120425121127525E-2</v>
      </c>
    </row>
    <row r="12" spans="2:4" x14ac:dyDescent="0.2">
      <c r="B12" s="5">
        <v>2019</v>
      </c>
      <c r="C12" s="8">
        <f>PRODUCT('Hoja 1'!D112:D123)-1</f>
        <v>-8.5317005619507169E-2</v>
      </c>
      <c r="D12" s="8">
        <f>SUM('Hoja 1'!E112:E123)</f>
        <v>-8.9177727964717027E-2</v>
      </c>
    </row>
    <row r="13" spans="2:4" x14ac:dyDescent="0.2">
      <c r="B13" s="5">
        <v>2020</v>
      </c>
      <c r="C13" s="8">
        <f>PRODUCT('Hoja 1'!D124:D135)-1</f>
        <v>-0.10549161107958516</v>
      </c>
      <c r="D13" s="8">
        <f>SUM('Hoja 1'!E124:E135)</f>
        <v>-0.11148099774261092</v>
      </c>
    </row>
    <row r="14" spans="2:4" x14ac:dyDescent="0.2">
      <c r="B14" s="5">
        <v>2021</v>
      </c>
      <c r="C14" s="8">
        <f>PRODUCT('Hoja 1'!D136:D147)-1</f>
        <v>3.1398872934631283E-2</v>
      </c>
      <c r="D14" s="8">
        <f>SUM('Hoja 1'!E136:E147)</f>
        <v>3.091600988119745E-2</v>
      </c>
    </row>
    <row r="15" spans="2:4" x14ac:dyDescent="0.2">
      <c r="B15" s="5">
        <v>2022</v>
      </c>
      <c r="C15" s="8">
        <f>PRODUCT('Hoja 1'!D148:D159)-1</f>
        <v>0.22131984643880065</v>
      </c>
      <c r="D15" s="8">
        <f>SUM('Hoja 1'!E148:E159)</f>
        <v>0.19993211531981164</v>
      </c>
    </row>
    <row r="16" spans="2:4" x14ac:dyDescent="0.2">
      <c r="B16" s="5">
        <v>2023</v>
      </c>
      <c r="C16" s="8">
        <f>PRODUCT('Hoja 1'!D160:D171)-1</f>
        <v>0.17785556955554216</v>
      </c>
      <c r="D16" s="8">
        <f>SUM('Hoja 1'!E160:E171)</f>
        <v>0.16369547122325168</v>
      </c>
    </row>
    <row r="17" spans="2:4" x14ac:dyDescent="0.2">
      <c r="B17" s="5">
        <v>2024</v>
      </c>
      <c r="C17" s="8">
        <f>PRODUCT('Hoja 1'!D172:D183)-1</f>
        <v>8.2650695330739543E-2</v>
      </c>
      <c r="D17" s="8">
        <f>SUM('Hoja 1'!E172:E183)</f>
        <v>7.9412381672826049E-2</v>
      </c>
    </row>
    <row r="18" spans="2:4" x14ac:dyDescent="0.2">
      <c r="B18" s="5">
        <v>2025</v>
      </c>
      <c r="C18" s="8">
        <f>PRODUCT('Hoja 1'!D184:D186)-1</f>
        <v>0.13987588710614851</v>
      </c>
      <c r="D18" s="8">
        <f>SUM('Hoja 1'!E184:E186)</f>
        <v>0.13091938552001225</v>
      </c>
    </row>
    <row r="20" spans="2:4" ht="16" x14ac:dyDescent="0.2">
      <c r="B20" s="7" t="s">
        <v>9</v>
      </c>
      <c r="C20" s="10">
        <f>AVERAGE(C3:C17)</f>
        <v>4.9076474758989484E-2</v>
      </c>
      <c r="D20" s="10">
        <f>AVERAGE(D3:D17)</f>
        <v>3.7749716373846789E-2</v>
      </c>
    </row>
    <row r="21" spans="2:4" ht="16" x14ac:dyDescent="0.2">
      <c r="B21" s="7" t="s">
        <v>10</v>
      </c>
      <c r="C21">
        <f>_xlfn.VAR.S(C3:C17)</f>
        <v>2.4523805591924543E-2</v>
      </c>
      <c r="D21">
        <f>_xlfn.VAR.S(D3:D17)</f>
        <v>2.1545735333508974E-2</v>
      </c>
    </row>
    <row r="22" spans="2:4" ht="16" x14ac:dyDescent="0.2">
      <c r="B22" s="7" t="s">
        <v>11</v>
      </c>
      <c r="C22" s="6">
        <f>SQRT(C21)</f>
        <v>0.15660078413572692</v>
      </c>
      <c r="D22" s="6">
        <f>SQRT(D21)</f>
        <v>0.14678465632861282</v>
      </c>
    </row>
    <row r="23" spans="2:4" x14ac:dyDescent="0.2">
      <c r="C23" s="6"/>
      <c r="D23" s="6"/>
    </row>
    <row r="24" spans="2:4" ht="16" x14ac:dyDescent="0.2">
      <c r="B24" s="7" t="s">
        <v>12</v>
      </c>
      <c r="C24" s="6">
        <f>C22/SQRT(15)</f>
        <v>4.0434148597379531E-2</v>
      </c>
      <c r="D24" s="6">
        <f>D22/SQRT(15)</f>
        <v>3.7899635295966433E-2</v>
      </c>
    </row>
    <row r="25" spans="2:4" x14ac:dyDescent="0.2">
      <c r="C25" s="6"/>
      <c r="D25" s="6"/>
    </row>
    <row r="26" spans="2:4" ht="16" x14ac:dyDescent="0.2">
      <c r="B26" s="7" t="s">
        <v>13</v>
      </c>
      <c r="C26" s="6">
        <f>C20+(1.96*C24)</f>
        <v>0.12832740600985337</v>
      </c>
      <c r="D26" s="6">
        <f>D20+(1.96*D24)</f>
        <v>0.112033001553941</v>
      </c>
    </row>
    <row r="27" spans="2:4" ht="16" x14ac:dyDescent="0.2">
      <c r="B27" s="7"/>
      <c r="C27" s="6">
        <f>C20-(1.96*C24)</f>
        <v>-3.0174456491874398E-2</v>
      </c>
      <c r="D27" s="6">
        <f>D20-(1.96*D24)</f>
        <v>-3.6533568806247418E-2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Altamirano A.</cp:lastModifiedBy>
  <dcterms:created xsi:type="dcterms:W3CDTF">2025-04-30T14:38:11Z</dcterms:created>
  <dcterms:modified xsi:type="dcterms:W3CDTF">2026-10-21T17:26:25Z</dcterms:modified>
</cp:coreProperties>
</file>